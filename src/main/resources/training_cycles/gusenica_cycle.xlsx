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/Users/mordvinovila/Downloads/"/>
    </mc:Choice>
  </mc:AlternateContent>
  <xr:revisionPtr revIDLastSave="0" documentId="13_ncr:1_{F0E1CF0F-1EC4-914E-A114-8134A2CFDC09}" xr6:coauthVersionLast="47" xr6:coauthVersionMax="47" xr10:uidLastSave="{00000000-0000-0000-0000-000000000000}"/>
  <bookViews>
    <workbookView xWindow="0" yWindow="620" windowWidth="28800" windowHeight="15900" xr2:uid="{00000000-000D-0000-FFFF-FFFF00000000}"/>
  </bookViews>
  <sheets>
    <sheet name="Расчет" sheetId="1" r:id="rId1"/>
    <sheet name="Лист1" sheetId="2" r:id="rId2"/>
  </sheets>
  <definedNames>
    <definedName name="_xlnm._FilterDatabase" localSheetId="0" hidden="1">Расчет!$A$9:$A$27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W11" i="1" s="1"/>
  <c r="Z24" i="1" l="1"/>
  <c r="T25" i="1"/>
  <c r="N11" i="1"/>
  <c r="B13" i="1"/>
  <c r="Q14" i="1"/>
  <c r="Z16" i="1"/>
  <c r="AC19" i="1"/>
  <c r="AC22" i="1"/>
  <c r="AF25" i="1"/>
  <c r="H12" i="1"/>
  <c r="K15" i="1"/>
  <c r="K18" i="1"/>
  <c r="N24" i="1"/>
  <c r="AF13" i="1"/>
  <c r="W18" i="1"/>
  <c r="B11" i="1"/>
  <c r="T12" i="1"/>
  <c r="B16" i="1"/>
  <c r="E22" i="1"/>
  <c r="H25" i="1"/>
  <c r="H11" i="1"/>
  <c r="Z12" i="1"/>
  <c r="K14" i="1"/>
  <c r="N16" i="1"/>
  <c r="Q19" i="1"/>
  <c r="Q22" i="1"/>
  <c r="B10" i="1"/>
  <c r="T11" i="1"/>
  <c r="H13" i="1"/>
  <c r="W14" i="1"/>
  <c r="H17" i="1"/>
  <c r="H20" i="1"/>
  <c r="K23" i="1"/>
  <c r="K26" i="1"/>
  <c r="H10" i="1"/>
  <c r="AC11" i="1"/>
  <c r="N13" i="1"/>
  <c r="AC14" i="1"/>
  <c r="T17" i="1"/>
  <c r="T20" i="1"/>
  <c r="W23" i="1"/>
  <c r="W26" i="1"/>
  <c r="T10" i="1"/>
  <c r="Z13" i="1"/>
  <c r="N21" i="1"/>
  <c r="Z10" i="1"/>
  <c r="N12" i="1"/>
  <c r="W15" i="1"/>
  <c r="Z21" i="1"/>
  <c r="E14" i="1"/>
  <c r="E19" i="1"/>
  <c r="N10" i="1"/>
  <c r="B12" i="1"/>
  <c r="T13" i="1"/>
  <c r="E15" i="1"/>
  <c r="AF17" i="1"/>
  <c r="B21" i="1"/>
  <c r="B24" i="1"/>
  <c r="K27" i="1"/>
  <c r="W27" i="1"/>
  <c r="Q15" i="1"/>
  <c r="AC15" i="1"/>
  <c r="H16" i="1"/>
  <c r="T16" i="1"/>
  <c r="B17" i="1"/>
  <c r="N17" i="1"/>
  <c r="Z17" i="1"/>
  <c r="E18" i="1"/>
  <c r="Q18" i="1"/>
  <c r="AC18" i="1"/>
  <c r="K19" i="1"/>
  <c r="W19" i="1"/>
  <c r="B20" i="1"/>
  <c r="N20" i="1"/>
  <c r="Z20" i="1"/>
  <c r="H21" i="1"/>
  <c r="T21" i="1"/>
  <c r="AF21" i="1"/>
  <c r="K22" i="1"/>
  <c r="W22" i="1"/>
  <c r="E23" i="1"/>
  <c r="Q23" i="1"/>
  <c r="AC23" i="1"/>
  <c r="H24" i="1"/>
  <c r="T24" i="1"/>
  <c r="B25" i="1"/>
  <c r="N25" i="1"/>
  <c r="Z25" i="1"/>
  <c r="E26" i="1"/>
  <c r="Q26" i="1"/>
  <c r="E27" i="1"/>
  <c r="Q27" i="1"/>
  <c r="E10" i="1"/>
  <c r="Q10" i="1"/>
  <c r="AC10" i="1"/>
  <c r="K11" i="1"/>
  <c r="Z11" i="1"/>
  <c r="E12" i="1"/>
  <c r="Q12" i="1"/>
  <c r="AC12" i="1"/>
  <c r="K13" i="1"/>
  <c r="W13" i="1"/>
  <c r="B14" i="1"/>
  <c r="N14" i="1"/>
  <c r="Z14" i="1"/>
  <c r="H15" i="1"/>
  <c r="T15" i="1"/>
  <c r="AF15" i="1"/>
  <c r="K16" i="1"/>
  <c r="W16" i="1"/>
  <c r="E17" i="1"/>
  <c r="Q17" i="1"/>
  <c r="AC17" i="1"/>
  <c r="H18" i="1"/>
  <c r="T18" i="1"/>
  <c r="B19" i="1"/>
  <c r="N19" i="1"/>
  <c r="Z19" i="1"/>
  <c r="E20" i="1"/>
  <c r="Q20" i="1"/>
  <c r="AC20" i="1"/>
  <c r="K21" i="1"/>
  <c r="W21" i="1"/>
  <c r="B22" i="1"/>
  <c r="N22" i="1"/>
  <c r="Z22" i="1"/>
  <c r="H23" i="1"/>
  <c r="T23" i="1"/>
  <c r="AF23" i="1"/>
  <c r="K24" i="1"/>
  <c r="W24" i="1"/>
  <c r="E25" i="1"/>
  <c r="Q25" i="1"/>
  <c r="AC25" i="1"/>
  <c r="H26" i="1"/>
  <c r="T26" i="1"/>
  <c r="H27" i="1"/>
  <c r="T27" i="1"/>
  <c r="K10" i="1"/>
  <c r="W10" i="1"/>
  <c r="E11" i="1"/>
  <c r="Q11" i="1"/>
  <c r="AF11" i="1"/>
  <c r="K12" i="1"/>
  <c r="W12" i="1"/>
  <c r="E13" i="1"/>
  <c r="Q13" i="1"/>
  <c r="AC13" i="1"/>
  <c r="H14" i="1"/>
  <c r="T14" i="1"/>
  <c r="B15" i="1"/>
  <c r="N15" i="1"/>
  <c r="Z15" i="1"/>
  <c r="E16" i="1"/>
  <c r="Q16" i="1"/>
  <c r="AC16" i="1"/>
  <c r="K17" i="1"/>
  <c r="W17" i="1"/>
  <c r="B18" i="1"/>
  <c r="N18" i="1"/>
  <c r="Z18" i="1"/>
  <c r="H19" i="1"/>
  <c r="T19" i="1"/>
  <c r="AF19" i="1"/>
  <c r="K20" i="1"/>
  <c r="W20" i="1"/>
  <c r="E21" i="1"/>
  <c r="Q21" i="1"/>
  <c r="AC21" i="1"/>
  <c r="H22" i="1"/>
  <c r="T22" i="1"/>
  <c r="B23" i="1"/>
  <c r="N23" i="1"/>
  <c r="Z23" i="1"/>
  <c r="E24" i="1"/>
  <c r="Q24" i="1"/>
  <c r="AC24" i="1"/>
  <c r="K25" i="1"/>
  <c r="W25" i="1"/>
  <c r="B26" i="1"/>
  <c r="N26" i="1"/>
  <c r="B27" i="1"/>
  <c r="N27" i="1"/>
</calcChain>
</file>

<file path=xl/sharedStrings.xml><?xml version="1.0" encoding="utf-8"?>
<sst xmlns="http://schemas.openxmlformats.org/spreadsheetml/2006/main" count="211" uniqueCount="35">
  <si>
    <t>ПМ</t>
  </si>
  <si>
    <t>/8</t>
  </si>
  <si>
    <t>/7</t>
  </si>
  <si>
    <t>/5</t>
  </si>
  <si>
    <t>/6</t>
  </si>
  <si>
    <t>/4</t>
  </si>
  <si>
    <t>/3</t>
  </si>
  <si>
    <t>/2</t>
  </si>
  <si>
    <t>/1</t>
  </si>
  <si>
    <t>1 тренировка:</t>
  </si>
  <si>
    <t>2 тренировка:</t>
  </si>
  <si>
    <t>3 тренировка:</t>
  </si>
  <si>
    <t>4 тренировка:</t>
  </si>
  <si>
    <t>5 тренировка:</t>
  </si>
  <si>
    <t>6 тренировка:</t>
  </si>
  <si>
    <t>7 тренировка:</t>
  </si>
  <si>
    <t>8 тренировка:</t>
  </si>
  <si>
    <t>9 тренировка:</t>
  </si>
  <si>
    <t>10 тренировка:</t>
  </si>
  <si>
    <t>11 тренировка:</t>
  </si>
  <si>
    <t>12 тренировка:</t>
  </si>
  <si>
    <t>13 тренировка:</t>
  </si>
  <si>
    <t>14 тренировка:</t>
  </si>
  <si>
    <t>15 тренировка:</t>
  </si>
  <si>
    <t>16 тренировка:</t>
  </si>
  <si>
    <t>17 тренировка:</t>
  </si>
  <si>
    <t>и дальше до максимума</t>
  </si>
  <si>
    <t>Выбрать тренировку</t>
  </si>
  <si>
    <t>18. ПРОХОДКА</t>
  </si>
  <si>
    <t>записано: вес, затем количество повторений</t>
  </si>
  <si>
    <t>Система "Гусеница новая" - автор ЗТР Суровецкий А.Е.</t>
  </si>
  <si>
    <t xml:space="preserve">  Для удобства просмотра: нажимаем треугольник возле "Выбрать тренировку", снимаем галочку "Выделить все" и отмечаем нужную тренировку</t>
  </si>
  <si>
    <t xml:space="preserve">  План рассчитан на 3 жима в неделю, но допустимо и 2 жима</t>
  </si>
  <si>
    <t>+</t>
  </si>
  <si>
    <t>Подход можно отметить выполненным: нужно нажать на пустую ячейку рялдом с ним. Появится раскрывающийся списокс знаком "+". На него нужно нажать. Но должен быть включен режим правки в мобильном приложении, которое вы используете для просмотра файла 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</si>
</sst>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 Cyr"/>
    </font>
    <font>
      <u/>
      <sz val="10"/>
      <color indexed="12"/>
      <name val="Arial Cyr"/>
      <charset val="204"/>
    </font>
    <font>
      <sz val="10"/>
      <name val="Arial Cyr"/>
      <charset val="204"/>
    </font>
    <font>
      <sz val="12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0"/>
      <name val="Arial Cyr"/>
      <charset val="204"/>
    </font>
    <font>
      <sz val="1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10"/>
      <color theme="3"/>
      <name val="Times New Roman"/>
      <family val="1"/>
      <charset val="204"/>
    </font>
    <font>
      <sz val="9"/>
      <name val="Times New Roman"/>
      <family val="1"/>
      <charset val="204"/>
    </font>
    <font>
      <b/>
      <sz val="14"/>
      <name val="Arial Cyr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protection locked="0"/>
    </xf>
  </cellStyleXfs>
  <cellXfs count="85">
    <xf numFmtId="0" fontId="0" fillId="0" borderId="0" xfId="0">
      <alignment vertical="center"/>
    </xf>
    <xf numFmtId="0" fontId="1" fillId="0" borderId="0" xfId="1" applyProtection="1"/>
    <xf numFmtId="0" fontId="3" fillId="0" borderId="0" xfId="0" applyFont="1" applyAlignment="1"/>
    <xf numFmtId="0" fontId="3" fillId="2" borderId="0" xfId="0" applyFont="1" applyFill="1" applyAlignment="1"/>
    <xf numFmtId="0" fontId="4" fillId="2" borderId="0" xfId="0" applyFont="1" applyFill="1" applyAlignment="1"/>
    <xf numFmtId="0" fontId="2" fillId="0" borderId="0" xfId="0" applyFont="1" applyAlignment="1"/>
    <xf numFmtId="0" fontId="3" fillId="2" borderId="1" xfId="0" applyFont="1" applyFill="1" applyBorder="1" applyAlignment="1"/>
    <xf numFmtId="0" fontId="4" fillId="2" borderId="2" xfId="0" applyFont="1" applyFill="1" applyBorder="1" applyAlignment="1"/>
    <xf numFmtId="0" fontId="3" fillId="2" borderId="3" xfId="0" applyFont="1" applyFill="1" applyBorder="1" applyAlignment="1"/>
    <xf numFmtId="0" fontId="4" fillId="2" borderId="4" xfId="0" applyFont="1" applyFill="1" applyBorder="1" applyAlignment="1"/>
    <xf numFmtId="0" fontId="3" fillId="2" borderId="5" xfId="0" applyFont="1" applyFill="1" applyBorder="1" applyAlignment="1"/>
    <xf numFmtId="0" fontId="4" fillId="2" borderId="6" xfId="0" applyFont="1" applyFill="1" applyBorder="1" applyAlignment="1"/>
    <xf numFmtId="0" fontId="3" fillId="0" borderId="2" xfId="0" applyFont="1" applyBorder="1" applyAlignment="1"/>
    <xf numFmtId="0" fontId="3" fillId="2" borderId="7" xfId="0" applyFont="1" applyFill="1" applyBorder="1" applyAlignment="1"/>
    <xf numFmtId="0" fontId="3" fillId="0" borderId="4" xfId="0" applyFont="1" applyBorder="1" applyAlignment="1"/>
    <xf numFmtId="0" fontId="3" fillId="2" borderId="8" xfId="0" applyFont="1" applyFill="1" applyBorder="1" applyAlignment="1"/>
    <xf numFmtId="0" fontId="4" fillId="2" borderId="9" xfId="0" applyFont="1" applyFill="1" applyBorder="1" applyAlignment="1"/>
    <xf numFmtId="0" fontId="5" fillId="0" borderId="0" xfId="0" applyFont="1" applyAlignment="1"/>
    <xf numFmtId="0" fontId="6" fillId="0" borderId="0" xfId="0" applyFont="1">
      <alignment vertical="center"/>
    </xf>
    <xf numFmtId="0" fontId="6" fillId="0" borderId="0" xfId="0" applyFont="1" applyAlignment="1"/>
    <xf numFmtId="0" fontId="7" fillId="0" borderId="0" xfId="0" applyFont="1" applyAlignment="1"/>
    <xf numFmtId="0" fontId="9" fillId="0" borderId="0" xfId="0" applyFont="1" applyAlignment="1"/>
    <xf numFmtId="0" fontId="6" fillId="0" borderId="4" xfId="0" applyFont="1" applyBorder="1" applyAlignment="1"/>
    <xf numFmtId="0" fontId="9" fillId="0" borderId="0" xfId="0" applyFont="1" applyAlignment="1">
      <alignment horizontal="right"/>
    </xf>
    <xf numFmtId="2" fontId="9" fillId="0" borderId="0" xfId="0" applyNumberFormat="1" applyFont="1" applyAlignment="1"/>
    <xf numFmtId="0" fontId="9" fillId="0" borderId="10" xfId="0" applyFont="1" applyBorder="1" applyAlignment="1">
      <alignment horizontal="right"/>
    </xf>
    <xf numFmtId="0" fontId="9" fillId="0" borderId="8" xfId="0" applyFont="1" applyBorder="1" applyAlignment="1">
      <alignment horizontal="left"/>
    </xf>
    <xf numFmtId="0" fontId="6" fillId="0" borderId="8" xfId="0" applyFont="1" applyBorder="1" applyAlignment="1"/>
    <xf numFmtId="0" fontId="7" fillId="0" borderId="11" xfId="0" applyFont="1" applyBorder="1" applyAlignme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6" fillId="0" borderId="14" xfId="0" applyFont="1" applyBorder="1">
      <alignment vertical="center"/>
    </xf>
    <xf numFmtId="0" fontId="6" fillId="0" borderId="14" xfId="0" applyFont="1" applyBorder="1" applyAlignment="1"/>
    <xf numFmtId="0" fontId="6" fillId="3" borderId="19" xfId="0" applyFont="1" applyFill="1" applyBorder="1">
      <alignment vertical="center"/>
    </xf>
    <xf numFmtId="0" fontId="6" fillId="3" borderId="19" xfId="0" applyFont="1" applyFill="1" applyBorder="1" applyAlignment="1">
      <alignment horizontal="center"/>
    </xf>
    <xf numFmtId="0" fontId="6" fillId="3" borderId="19" xfId="0" applyFont="1" applyFill="1" applyBorder="1" applyAlignment="1"/>
    <xf numFmtId="0" fontId="6" fillId="0" borderId="19" xfId="0" applyFont="1" applyBorder="1">
      <alignment vertical="center"/>
    </xf>
    <xf numFmtId="0" fontId="6" fillId="0" borderId="19" xfId="0" applyFont="1" applyBorder="1" applyAlignment="1"/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/>
    </xf>
    <xf numFmtId="0" fontId="6" fillId="3" borderId="16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/>
    </xf>
    <xf numFmtId="0" fontId="6" fillId="3" borderId="18" xfId="0" applyFont="1" applyFill="1" applyBorder="1" applyAlignment="1">
      <alignment horizontal="center" vertical="center"/>
    </xf>
    <xf numFmtId="0" fontId="6" fillId="0" borderId="15" xfId="0" applyFont="1" applyBorder="1" applyAlignment="1"/>
    <xf numFmtId="0" fontId="6" fillId="3" borderId="20" xfId="0" applyFont="1" applyFill="1" applyBorder="1" applyAlignment="1"/>
    <xf numFmtId="0" fontId="6" fillId="0" borderId="20" xfId="0" applyFont="1" applyBorder="1" applyAlignment="1"/>
    <xf numFmtId="0" fontId="6" fillId="0" borderId="20" xfId="0" applyFont="1" applyBorder="1">
      <alignment vertical="center"/>
    </xf>
    <xf numFmtId="0" fontId="8" fillId="3" borderId="21" xfId="0" applyFont="1" applyFill="1" applyBorder="1" applyAlignment="1">
      <alignment horizontal="center"/>
    </xf>
    <xf numFmtId="0" fontId="6" fillId="3" borderId="22" xfId="0" applyFont="1" applyFill="1" applyBorder="1">
      <alignment vertical="center"/>
    </xf>
    <xf numFmtId="0" fontId="6" fillId="3" borderId="22" xfId="0" applyFont="1" applyFill="1" applyBorder="1" applyAlignment="1">
      <alignment horizontal="center"/>
    </xf>
    <xf numFmtId="0" fontId="6" fillId="3" borderId="22" xfId="0" applyFont="1" applyFill="1" applyBorder="1" applyAlignment="1"/>
    <xf numFmtId="0" fontId="6" fillId="0" borderId="22" xfId="0" applyFont="1" applyBorder="1" applyAlignment="1">
      <alignment horizontal="center"/>
    </xf>
    <xf numFmtId="0" fontId="10" fillId="3" borderId="12" xfId="0" applyFont="1" applyFill="1" applyBorder="1" applyAlignment="1"/>
    <xf numFmtId="0" fontId="3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3" borderId="26" xfId="0" applyFont="1" applyFill="1" applyBorder="1" applyAlignment="1"/>
    <xf numFmtId="0" fontId="6" fillId="0" borderId="24" xfId="0" applyFont="1" applyBorder="1" applyAlignment="1"/>
    <xf numFmtId="0" fontId="6" fillId="3" borderId="24" xfId="0" applyFont="1" applyFill="1" applyBorder="1" applyAlignment="1"/>
    <xf numFmtId="0" fontId="6" fillId="0" borderId="27" xfId="0" applyFont="1" applyBorder="1" applyAlignment="1"/>
    <xf numFmtId="0" fontId="6" fillId="3" borderId="26" xfId="0" applyFont="1" applyFill="1" applyBorder="1">
      <alignment vertical="center"/>
    </xf>
    <xf numFmtId="0" fontId="6" fillId="0" borderId="24" xfId="0" applyFont="1" applyBorder="1">
      <alignment vertical="center"/>
    </xf>
    <xf numFmtId="0" fontId="6" fillId="3" borderId="24" xfId="0" applyFont="1" applyFill="1" applyBorder="1">
      <alignment vertical="center"/>
    </xf>
    <xf numFmtId="0" fontId="6" fillId="0" borderId="27" xfId="0" applyFont="1" applyBorder="1">
      <alignment vertical="center"/>
    </xf>
    <xf numFmtId="0" fontId="8" fillId="0" borderId="24" xfId="0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8" fillId="3" borderId="22" xfId="0" applyFont="1" applyFill="1" applyBorder="1" applyAlignment="1">
      <alignment horizontal="left"/>
    </xf>
    <xf numFmtId="0" fontId="8" fillId="3" borderId="23" xfId="0" applyFont="1" applyFill="1" applyBorder="1" applyAlignment="1">
      <alignment horizontal="left"/>
    </xf>
    <xf numFmtId="0" fontId="6" fillId="3" borderId="25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1" fillId="0" borderId="17" xfId="0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</cellXfs>
  <cellStyles count="2">
    <cellStyle name="Гиперссылка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AS37"/>
  <sheetViews>
    <sheetView tabSelected="1" topLeftCell="A2" zoomScale="130" zoomScaleNormal="130" workbookViewId="0">
      <selection activeCell="A30" sqref="A30"/>
    </sheetView>
  </sheetViews>
  <sheetFormatPr baseColWidth="10" defaultColWidth="10" defaultRowHeight="13"/>
  <cols>
    <col min="1" max="1" width="20" customWidth="1"/>
    <col min="2" max="2" width="6.1640625" customWidth="1"/>
    <col min="3" max="3" width="3.1640625" customWidth="1"/>
    <col min="4" max="4" width="2.6640625" customWidth="1"/>
    <col min="5" max="5" width="6.1640625" style="32" customWidth="1"/>
    <col min="6" max="6" width="3.5" customWidth="1"/>
    <col min="7" max="7" width="2.5" customWidth="1"/>
    <col min="8" max="8" width="6.33203125" customWidth="1"/>
    <col min="9" max="9" width="3" customWidth="1"/>
    <col min="10" max="10" width="2.6640625" customWidth="1"/>
    <col min="11" max="11" width="6.5" customWidth="1"/>
    <col min="12" max="13" width="2.5" customWidth="1"/>
    <col min="14" max="14" width="6.6640625" customWidth="1"/>
    <col min="15" max="15" width="2.5" customWidth="1"/>
    <col min="16" max="16" width="2.6640625" customWidth="1"/>
    <col min="17" max="17" width="6.1640625" customWidth="1"/>
    <col min="18" max="18" width="3" customWidth="1"/>
    <col min="19" max="19" width="2.6640625" customWidth="1"/>
    <col min="20" max="20" width="6.33203125" customWidth="1"/>
    <col min="21" max="21" width="3" customWidth="1"/>
    <col min="22" max="22" width="2.1640625" customWidth="1"/>
    <col min="23" max="23" width="6" customWidth="1"/>
    <col min="24" max="24" width="3" customWidth="1"/>
    <col min="25" max="25" width="2.5" customWidth="1"/>
    <col min="26" max="26" width="6.5" customWidth="1"/>
    <col min="27" max="27" width="2.83203125" customWidth="1"/>
    <col min="28" max="28" width="2.5" customWidth="1"/>
    <col min="29" max="29" width="6" customWidth="1"/>
    <col min="30" max="30" width="3.1640625" customWidth="1"/>
    <col min="31" max="31" width="2.33203125" customWidth="1"/>
    <col min="32" max="32" width="6.6640625" customWidth="1"/>
    <col min="33" max="33" width="2.6640625" customWidth="1"/>
    <col min="34" max="34" width="11.6640625" customWidth="1"/>
    <col min="35" max="35" width="7.6640625" customWidth="1"/>
    <col min="36" max="36" width="4.6640625" customWidth="1"/>
    <col min="37" max="37" width="5" customWidth="1"/>
    <col min="38" max="265" width="8.83203125" customWidth="1"/>
  </cols>
  <sheetData>
    <row r="1" spans="1:45" hidden="1">
      <c r="I1" s="1"/>
      <c r="J1" s="1"/>
    </row>
    <row r="2" spans="1:45">
      <c r="I2" s="1"/>
      <c r="J2" s="1"/>
    </row>
    <row r="3" spans="1:45" hidden="1">
      <c r="A3" t="s">
        <v>0</v>
      </c>
      <c r="B3">
        <v>207.5</v>
      </c>
    </row>
    <row r="4" spans="1:45" hidden="1">
      <c r="B4">
        <f>ROUNDDOWN(($B$3*96%)/2.5,0)*2.5</f>
        <v>197.5</v>
      </c>
    </row>
    <row r="5" spans="1:45" ht="16">
      <c r="A5" s="80" t="s">
        <v>30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</row>
    <row r="6" spans="1:45" ht="6.75" customHeight="1">
      <c r="A6" s="56"/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</row>
    <row r="7" spans="1:45">
      <c r="A7" s="81" t="s">
        <v>31</v>
      </c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</row>
    <row r="8" spans="1:45" ht="10.5" customHeight="1" thickBot="1">
      <c r="A8" s="82" t="s">
        <v>32</v>
      </c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</row>
    <row r="9" spans="1:45" ht="15" customHeight="1" thickBot="1">
      <c r="A9" s="55" t="s">
        <v>27</v>
      </c>
      <c r="B9" s="77" t="s">
        <v>29</v>
      </c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9"/>
      <c r="AH9" s="19"/>
      <c r="AI9" s="18"/>
      <c r="AJ9" s="18"/>
      <c r="AK9" s="18"/>
      <c r="AL9" s="18"/>
      <c r="AM9" s="18"/>
    </row>
    <row r="10" spans="1:45" ht="12.75" customHeight="1">
      <c r="A10" s="40" t="s">
        <v>9</v>
      </c>
      <c r="B10" s="33">
        <f>ROUNDDOWN((B4*20%)/2.5,0)*2.5</f>
        <v>37.5</v>
      </c>
      <c r="C10" s="33" t="s">
        <v>1</v>
      </c>
      <c r="D10" s="58"/>
      <c r="E10" s="41">
        <f>ROUNDDOWN((B4*32%)/2.5,0)*2.5</f>
        <v>62.5</v>
      </c>
      <c r="F10" s="33" t="s">
        <v>2</v>
      </c>
      <c r="G10" s="59"/>
      <c r="H10" s="33">
        <f>ROUNDDOWN((B4*44%)/2.5,0)*2.5</f>
        <v>85</v>
      </c>
      <c r="I10" s="33" t="s">
        <v>4</v>
      </c>
      <c r="J10" s="67"/>
      <c r="K10" s="34">
        <f>ROUNDDOWN((B4*56%)/2.5,0)*2.5</f>
        <v>110</v>
      </c>
      <c r="L10" s="34" t="s">
        <v>3</v>
      </c>
      <c r="M10" s="59"/>
      <c r="N10" s="34">
        <f>ROUNDDOWN((B4*68%)/2.5,0)*2.5</f>
        <v>132.5</v>
      </c>
      <c r="O10" s="34" t="s">
        <v>5</v>
      </c>
      <c r="P10" s="59"/>
      <c r="Q10" s="34">
        <f>ROUNDDOWN((B4*76%)/2.5,0)*2.5</f>
        <v>150</v>
      </c>
      <c r="R10" s="34" t="s">
        <v>5</v>
      </c>
      <c r="S10" s="63"/>
      <c r="T10" s="34">
        <f>ROUNDDOWN((B4*76%)/2.5,0)*2.5</f>
        <v>150</v>
      </c>
      <c r="U10" s="34" t="s">
        <v>5</v>
      </c>
      <c r="V10" s="59"/>
      <c r="W10" s="34">
        <f>ROUNDDOWN((B4*76%)/2.5,0)*2.5</f>
        <v>150</v>
      </c>
      <c r="X10" s="34" t="s">
        <v>5</v>
      </c>
      <c r="Y10" s="59"/>
      <c r="Z10" s="34">
        <f>ROUNDDOWN((B4*76%)/2.5,0)*2.5</f>
        <v>150</v>
      </c>
      <c r="AA10" s="34" t="s">
        <v>5</v>
      </c>
      <c r="AB10" s="59"/>
      <c r="AC10" s="34">
        <f>ROUNDDOWN((B4*76%)/2.5,0)*2.5</f>
        <v>150</v>
      </c>
      <c r="AD10" s="34" t="s">
        <v>5</v>
      </c>
      <c r="AE10" s="59"/>
      <c r="AF10" s="34"/>
      <c r="AG10" s="46"/>
      <c r="AH10" s="19"/>
      <c r="AI10" s="19"/>
      <c r="AJ10" s="19"/>
      <c r="AK10" s="19"/>
      <c r="AL10" s="19"/>
      <c r="AM10" s="19"/>
      <c r="AN10" s="3"/>
      <c r="AO10" s="3"/>
      <c r="AP10" s="4"/>
      <c r="AQ10" s="2"/>
      <c r="AR10" s="2"/>
      <c r="AS10" s="5"/>
    </row>
    <row r="11" spans="1:45" ht="13" customHeight="1">
      <c r="A11" s="42" t="s">
        <v>10</v>
      </c>
      <c r="B11" s="35">
        <f>ROUNDDOWN((B4*24%)/2.5,0)*2.5</f>
        <v>45</v>
      </c>
      <c r="C11" s="35" t="s">
        <v>1</v>
      </c>
      <c r="D11" s="71"/>
      <c r="E11" s="36">
        <f>ROUNDDOWN((B4*36%)/2.5,0)*2.5</f>
        <v>70</v>
      </c>
      <c r="F11" s="35" t="s">
        <v>2</v>
      </c>
      <c r="G11" s="60"/>
      <c r="H11" s="35">
        <f>ROUNDDOWN((B4*48%)/2.5,0)*2.5</f>
        <v>92.5</v>
      </c>
      <c r="I11" s="35" t="s">
        <v>4</v>
      </c>
      <c r="J11" s="68"/>
      <c r="K11" s="37">
        <f>ROUNDDOWN((B4*60%)/2.5,0)*2.5</f>
        <v>117.5</v>
      </c>
      <c r="L11" s="37" t="s">
        <v>3</v>
      </c>
      <c r="M11" s="60"/>
      <c r="N11" s="37">
        <f>ROUNDDOWN((B4*72%)/2.5,0)*2.5</f>
        <v>140</v>
      </c>
      <c r="O11" s="37" t="s">
        <v>5</v>
      </c>
      <c r="P11" s="60"/>
      <c r="Q11" s="37">
        <f>ROUNDDOWN((B4*84%)/2.5,0)*2.5</f>
        <v>165</v>
      </c>
      <c r="R11" s="37" t="s">
        <v>6</v>
      </c>
      <c r="S11" s="64"/>
      <c r="T11" s="37">
        <f>ROUNDDOWN((B4*88%)/2.5,0)*2.5</f>
        <v>172.5</v>
      </c>
      <c r="U11" s="37" t="s">
        <v>7</v>
      </c>
      <c r="V11" s="60"/>
      <c r="W11" s="37">
        <f>ROUNDDOWN((B4*88%)/2.5,0)*2.5</f>
        <v>172.5</v>
      </c>
      <c r="X11" s="37" t="s">
        <v>7</v>
      </c>
      <c r="Y11" s="60"/>
      <c r="Z11" s="37">
        <f>ROUNDDOWN((B4*88%)/2.5,0)*2.5</f>
        <v>172.5</v>
      </c>
      <c r="AA11" s="37" t="s">
        <v>7</v>
      </c>
      <c r="AB11" s="60"/>
      <c r="AC11" s="37">
        <f>ROUNDDOWN((B4*88%)/2.5,0)*2.5</f>
        <v>172.5</v>
      </c>
      <c r="AD11" s="37" t="s">
        <v>7</v>
      </c>
      <c r="AE11" s="60"/>
      <c r="AF11" s="37">
        <f>ROUNDDOWN((B4*88%)/2.5,0)*2.5</f>
        <v>172.5</v>
      </c>
      <c r="AG11" s="47" t="s">
        <v>7</v>
      </c>
      <c r="AH11" s="19"/>
      <c r="AI11" s="19"/>
      <c r="AJ11" s="19"/>
      <c r="AK11" s="19"/>
      <c r="AL11" s="19"/>
      <c r="AM11" s="19"/>
      <c r="AN11" s="3"/>
      <c r="AO11" s="6"/>
      <c r="AP11" s="7"/>
      <c r="AQ11" s="2"/>
      <c r="AR11" s="2"/>
      <c r="AS11" s="5"/>
    </row>
    <row r="12" spans="1:45" ht="13" customHeight="1">
      <c r="A12" s="43" t="s">
        <v>11</v>
      </c>
      <c r="B12" s="38">
        <f>ROUNDDOWN((B4*20%)/2.5,0)*2.5</f>
        <v>37.5</v>
      </c>
      <c r="C12" s="38" t="s">
        <v>1</v>
      </c>
      <c r="D12" s="72"/>
      <c r="E12" s="44">
        <f>ROUNDDOWN((B4*32%)/2.5,0)*2.5</f>
        <v>62.5</v>
      </c>
      <c r="F12" s="38" t="s">
        <v>2</v>
      </c>
      <c r="G12" s="61"/>
      <c r="H12" s="38">
        <f>ROUNDDOWN((B4*44%)/2.5,0)*2.5</f>
        <v>85</v>
      </c>
      <c r="I12" s="38" t="s">
        <v>4</v>
      </c>
      <c r="J12" s="69"/>
      <c r="K12" s="39">
        <f>ROUNDDOWN((B4*56%)/2.5,0)*2.5</f>
        <v>110</v>
      </c>
      <c r="L12" s="39" t="s">
        <v>3</v>
      </c>
      <c r="M12" s="61"/>
      <c r="N12" s="39">
        <f>ROUNDDOWN((B4*68%)/2.5,0)*2.5</f>
        <v>132.5</v>
      </c>
      <c r="O12" s="39" t="s">
        <v>5</v>
      </c>
      <c r="P12" s="61"/>
      <c r="Q12" s="39">
        <f>ROUNDDOWN((B4*76%)/2.5,0)*2.5+2.5</f>
        <v>152.5</v>
      </c>
      <c r="R12" s="39" t="s">
        <v>5</v>
      </c>
      <c r="S12" s="65"/>
      <c r="T12" s="39">
        <f>ROUNDDOWN((B4*76%)/2.5,0)*2.5</f>
        <v>150</v>
      </c>
      <c r="U12" s="39" t="s">
        <v>5</v>
      </c>
      <c r="V12" s="61"/>
      <c r="W12" s="39">
        <f>ROUNDDOWN((B4*76%)/2.5,0)*2.5</f>
        <v>150</v>
      </c>
      <c r="X12" s="39" t="s">
        <v>5</v>
      </c>
      <c r="Y12" s="61"/>
      <c r="Z12" s="39">
        <f>ROUNDDOWN((B4*76%)/2.5,0)*2.5</f>
        <v>150</v>
      </c>
      <c r="AA12" s="39" t="s">
        <v>5</v>
      </c>
      <c r="AB12" s="61"/>
      <c r="AC12" s="39">
        <f>ROUNDDOWN((B4*76%)/2.5,0)*2.5</f>
        <v>150</v>
      </c>
      <c r="AD12" s="39" t="s">
        <v>5</v>
      </c>
      <c r="AE12" s="61"/>
      <c r="AF12" s="39"/>
      <c r="AG12" s="48"/>
      <c r="AH12" s="19"/>
      <c r="AI12" s="19"/>
      <c r="AJ12" s="19"/>
      <c r="AK12" s="19"/>
      <c r="AL12" s="19"/>
      <c r="AM12" s="19"/>
      <c r="AN12" s="3"/>
      <c r="AO12" s="8"/>
      <c r="AP12" s="9"/>
      <c r="AQ12" s="2"/>
      <c r="AR12" s="2"/>
      <c r="AS12" s="5"/>
    </row>
    <row r="13" spans="1:45" ht="13" customHeight="1">
      <c r="A13" s="42" t="s">
        <v>12</v>
      </c>
      <c r="B13" s="35">
        <f>ROUNDDOWN((B4*24%)/2.5,0)*2.5</f>
        <v>45</v>
      </c>
      <c r="C13" s="35" t="s">
        <v>1</v>
      </c>
      <c r="D13" s="71"/>
      <c r="E13" s="36">
        <f>ROUNDDOWN((B4*36%)/2.5,0)*2.5</f>
        <v>70</v>
      </c>
      <c r="F13" s="35" t="s">
        <v>2</v>
      </c>
      <c r="G13" s="60"/>
      <c r="H13" s="35">
        <f>ROUNDDOWN((B4*48%)/2.5,0)*2.5</f>
        <v>92.5</v>
      </c>
      <c r="I13" s="35" t="s">
        <v>4</v>
      </c>
      <c r="J13" s="68"/>
      <c r="K13" s="37">
        <f>ROUNDDOWN((B4*60%)/2.5,0)*2.5</f>
        <v>117.5</v>
      </c>
      <c r="L13" s="37" t="s">
        <v>3</v>
      </c>
      <c r="M13" s="60"/>
      <c r="N13" s="37">
        <f>ROUNDDOWN((B4*72%)/2.5,0)*2.5</f>
        <v>140</v>
      </c>
      <c r="O13" s="37" t="s">
        <v>5</v>
      </c>
      <c r="P13" s="60"/>
      <c r="Q13" s="37">
        <f>ROUNDDOWN((B4*84%)/2.5,0)*2.5</f>
        <v>165</v>
      </c>
      <c r="R13" s="37" t="s">
        <v>6</v>
      </c>
      <c r="S13" s="64"/>
      <c r="T13" s="37">
        <f>ROUNDDOWN((B4*88%)/2.5,0)*2.5+2.5</f>
        <v>175</v>
      </c>
      <c r="U13" s="37" t="s">
        <v>7</v>
      </c>
      <c r="V13" s="60"/>
      <c r="W13" s="37">
        <f>ROUNDDOWN((B4*88%)/2.5,0)*2.5</f>
        <v>172.5</v>
      </c>
      <c r="X13" s="37" t="s">
        <v>7</v>
      </c>
      <c r="Y13" s="60"/>
      <c r="Z13" s="37">
        <f>ROUNDDOWN((B4*88%)/2.5,0)*2.5</f>
        <v>172.5</v>
      </c>
      <c r="AA13" s="37" t="s">
        <v>7</v>
      </c>
      <c r="AB13" s="60"/>
      <c r="AC13" s="37">
        <f>ROUNDDOWN((B4*88%)/2.5,0)*2.5</f>
        <v>172.5</v>
      </c>
      <c r="AD13" s="37" t="s">
        <v>7</v>
      </c>
      <c r="AE13" s="60"/>
      <c r="AF13" s="37">
        <f>ROUNDDOWN((B4*88%)/2.5,0)*2.5</f>
        <v>172.5</v>
      </c>
      <c r="AG13" s="47" t="s">
        <v>7</v>
      </c>
      <c r="AH13" s="19"/>
      <c r="AI13" s="19"/>
      <c r="AJ13" s="19"/>
      <c r="AK13" s="19"/>
      <c r="AL13" s="19"/>
      <c r="AM13" s="19"/>
      <c r="AN13" s="3"/>
      <c r="AO13" s="8"/>
      <c r="AP13" s="9"/>
      <c r="AQ13" s="2"/>
      <c r="AR13" s="2"/>
      <c r="AS13" s="5"/>
    </row>
    <row r="14" spans="1:45" ht="13" customHeight="1">
      <c r="A14" s="43" t="s">
        <v>13</v>
      </c>
      <c r="B14" s="38">
        <f>ROUNDDOWN((B4*20%)/2.5,0)*2.5</f>
        <v>37.5</v>
      </c>
      <c r="C14" s="38" t="s">
        <v>1</v>
      </c>
      <c r="D14" s="72"/>
      <c r="E14" s="44">
        <f>ROUNDDOWN((B4*32%)/2.5,0)*2.5</f>
        <v>62.5</v>
      </c>
      <c r="F14" s="38" t="s">
        <v>2</v>
      </c>
      <c r="G14" s="61"/>
      <c r="H14" s="38">
        <f>ROUNDDOWN((B4*44%)/2.5,0)*2.5</f>
        <v>85</v>
      </c>
      <c r="I14" s="38" t="s">
        <v>4</v>
      </c>
      <c r="J14" s="69"/>
      <c r="K14" s="39">
        <f>ROUNDDOWN((B4*56%)/2.5,0)*2.5</f>
        <v>110</v>
      </c>
      <c r="L14" s="39" t="s">
        <v>3</v>
      </c>
      <c r="M14" s="61"/>
      <c r="N14" s="39">
        <f>ROUNDDOWN((B4*68%)/2.5,0)*2.5</f>
        <v>132.5</v>
      </c>
      <c r="O14" s="39" t="s">
        <v>5</v>
      </c>
      <c r="P14" s="61"/>
      <c r="Q14" s="39">
        <f>ROUNDDOWN((B4*76%)/2.5,0)*2.5+5</f>
        <v>155</v>
      </c>
      <c r="R14" s="39" t="s">
        <v>5</v>
      </c>
      <c r="S14" s="65"/>
      <c r="T14" s="39">
        <f>ROUNDDOWN((B4*76%)/2.5,0)*2.5+2.5</f>
        <v>152.5</v>
      </c>
      <c r="U14" s="39" t="s">
        <v>5</v>
      </c>
      <c r="V14" s="61"/>
      <c r="W14" s="39">
        <f>ROUNDDOWN((B4*76%)/2.5,0)*2.5</f>
        <v>150</v>
      </c>
      <c r="X14" s="39" t="s">
        <v>5</v>
      </c>
      <c r="Y14" s="61"/>
      <c r="Z14" s="39">
        <f>ROUNDDOWN((B4*76%)/2.5,0)*2.5</f>
        <v>150</v>
      </c>
      <c r="AA14" s="39" t="s">
        <v>5</v>
      </c>
      <c r="AB14" s="61"/>
      <c r="AC14" s="39">
        <f>ROUNDDOWN((B4*76%)/2.5,0)*2.5</f>
        <v>150</v>
      </c>
      <c r="AD14" s="39" t="s">
        <v>5</v>
      </c>
      <c r="AE14" s="61"/>
      <c r="AF14" s="39"/>
      <c r="AG14" s="48"/>
      <c r="AH14" s="19"/>
      <c r="AI14" s="19"/>
      <c r="AJ14" s="19"/>
      <c r="AK14" s="19"/>
      <c r="AL14" s="19"/>
      <c r="AM14" s="19"/>
      <c r="AN14" s="3"/>
      <c r="AO14" s="8"/>
      <c r="AP14" s="9"/>
      <c r="AQ14" s="2"/>
      <c r="AR14" s="2"/>
      <c r="AS14" s="5"/>
    </row>
    <row r="15" spans="1:45" ht="13" customHeight="1">
      <c r="A15" s="42" t="s">
        <v>14</v>
      </c>
      <c r="B15" s="35">
        <f>ROUNDDOWN((B4*24%)/2.5,0)*2.5</f>
        <v>45</v>
      </c>
      <c r="C15" s="35" t="s">
        <v>1</v>
      </c>
      <c r="D15" s="71"/>
      <c r="E15" s="36">
        <f>ROUNDDOWN((B4*36%)/2.5,0)*2.5</f>
        <v>70</v>
      </c>
      <c r="F15" s="35" t="s">
        <v>2</v>
      </c>
      <c r="G15" s="60"/>
      <c r="H15" s="35">
        <f>ROUNDDOWN((B4*48%)/2.5,0)*2.5</f>
        <v>92.5</v>
      </c>
      <c r="I15" s="35" t="s">
        <v>4</v>
      </c>
      <c r="J15" s="68"/>
      <c r="K15" s="37">
        <f>ROUNDDOWN((B4*60%)/2.5,0)*2.5</f>
        <v>117.5</v>
      </c>
      <c r="L15" s="37" t="s">
        <v>3</v>
      </c>
      <c r="M15" s="60"/>
      <c r="N15" s="37">
        <f>ROUNDDOWN((B4*72%)/2.5,0)*2.5</f>
        <v>140</v>
      </c>
      <c r="O15" s="37" t="s">
        <v>5</v>
      </c>
      <c r="P15" s="60"/>
      <c r="Q15" s="37">
        <f>ROUNDDOWN((B4*84%)/2.5,0)*2.5</f>
        <v>165</v>
      </c>
      <c r="R15" s="37" t="s">
        <v>6</v>
      </c>
      <c r="S15" s="64"/>
      <c r="T15" s="37">
        <f>ROUNDDOWN((B4*88%)/2.5,0)*2.5+5</f>
        <v>177.5</v>
      </c>
      <c r="U15" s="37" t="s">
        <v>7</v>
      </c>
      <c r="V15" s="60"/>
      <c r="W15" s="37">
        <f>ROUNDDOWN((B4*88%)/2.5,0)*2.5+2.5</f>
        <v>175</v>
      </c>
      <c r="X15" s="37" t="s">
        <v>7</v>
      </c>
      <c r="Y15" s="60"/>
      <c r="Z15" s="37">
        <f>ROUNDDOWN((B4*88%)/2.5,0)*2.5</f>
        <v>172.5</v>
      </c>
      <c r="AA15" s="37" t="s">
        <v>7</v>
      </c>
      <c r="AB15" s="60"/>
      <c r="AC15" s="37">
        <f>ROUNDDOWN((B4*88%)/2.5,0)*2.5</f>
        <v>172.5</v>
      </c>
      <c r="AD15" s="37" t="s">
        <v>7</v>
      </c>
      <c r="AE15" s="60"/>
      <c r="AF15" s="37">
        <f>ROUNDDOWN((B4*88%)/2.5,0)*2.5</f>
        <v>172.5</v>
      </c>
      <c r="AG15" s="47" t="s">
        <v>7</v>
      </c>
      <c r="AH15" s="19"/>
      <c r="AI15" s="19"/>
      <c r="AJ15" s="19"/>
      <c r="AK15" s="19"/>
      <c r="AL15" s="19"/>
      <c r="AM15" s="19"/>
      <c r="AN15" s="3"/>
      <c r="AO15" s="8"/>
      <c r="AP15" s="9"/>
      <c r="AQ15" s="2"/>
      <c r="AR15" s="2"/>
      <c r="AS15" s="5"/>
    </row>
    <row r="16" spans="1:45" ht="13" customHeight="1">
      <c r="A16" s="43" t="s">
        <v>15</v>
      </c>
      <c r="B16" s="38">
        <f>ROUNDDOWN((B4*20%)/2.5,0)*2.5</f>
        <v>37.5</v>
      </c>
      <c r="C16" s="38" t="s">
        <v>1</v>
      </c>
      <c r="D16" s="72"/>
      <c r="E16" s="44">
        <f>ROUNDDOWN((B4*32%)/2.5,0)*2.5</f>
        <v>62.5</v>
      </c>
      <c r="F16" s="38" t="s">
        <v>2</v>
      </c>
      <c r="G16" s="61"/>
      <c r="H16" s="38">
        <f>ROUNDDOWN((B4*44%)/2.5,0)*2.5</f>
        <v>85</v>
      </c>
      <c r="I16" s="38" t="s">
        <v>4</v>
      </c>
      <c r="J16" s="68"/>
      <c r="K16" s="39">
        <f>ROUNDDOWN((B4*56%)/2.5,0)*2.5</f>
        <v>110</v>
      </c>
      <c r="L16" s="39" t="s">
        <v>3</v>
      </c>
      <c r="M16" s="61"/>
      <c r="N16" s="39">
        <f>ROUNDDOWN((B4*68%)/2.5,0)*2.5</f>
        <v>132.5</v>
      </c>
      <c r="O16" s="39" t="s">
        <v>5</v>
      </c>
      <c r="P16" s="61"/>
      <c r="Q16" s="39">
        <f>ROUNDDOWN((B4*76%)/2.5,0)*2.5+5</f>
        <v>155</v>
      </c>
      <c r="R16" s="39" t="s">
        <v>5</v>
      </c>
      <c r="S16" s="65"/>
      <c r="T16" s="39">
        <f>ROUNDDOWN((B4*76%)/2.5,0)*2.5+7.5</f>
        <v>157.5</v>
      </c>
      <c r="U16" s="39" t="s">
        <v>5</v>
      </c>
      <c r="V16" s="61"/>
      <c r="W16" s="39">
        <f>ROUNDDOWN((B4*76%)/2.5,0)*2.5+5</f>
        <v>155</v>
      </c>
      <c r="X16" s="39" t="s">
        <v>5</v>
      </c>
      <c r="Y16" s="61"/>
      <c r="Z16" s="39">
        <f>ROUNDDOWN((B4*76%)/2.5,0)*2.5+2.5</f>
        <v>152.5</v>
      </c>
      <c r="AA16" s="39" t="s">
        <v>5</v>
      </c>
      <c r="AB16" s="61"/>
      <c r="AC16" s="39">
        <f>ROUNDDOWN((B4*76%)/2.5,0)*2.5</f>
        <v>150</v>
      </c>
      <c r="AD16" s="39" t="s">
        <v>5</v>
      </c>
      <c r="AE16" s="61"/>
      <c r="AF16" s="39"/>
      <c r="AG16" s="48"/>
      <c r="AH16" s="20"/>
      <c r="AI16" s="20"/>
      <c r="AJ16" s="20"/>
      <c r="AK16" s="20"/>
      <c r="AL16" s="20"/>
      <c r="AM16" s="20"/>
      <c r="AN16" s="3"/>
      <c r="AO16" s="8"/>
      <c r="AP16" s="9"/>
      <c r="AQ16" s="2"/>
      <c r="AR16" s="2"/>
      <c r="AS16" s="5"/>
    </row>
    <row r="17" spans="1:45" ht="13" customHeight="1">
      <c r="A17" s="42" t="s">
        <v>16</v>
      </c>
      <c r="B17" s="35">
        <f>ROUNDDOWN((B4*24%)/2.5,0)*2.5</f>
        <v>45</v>
      </c>
      <c r="C17" s="35" t="s">
        <v>1</v>
      </c>
      <c r="D17" s="71"/>
      <c r="E17" s="36">
        <f>ROUNDDOWN((B4*36%)/2.5,0)*2.5</f>
        <v>70</v>
      </c>
      <c r="F17" s="35" t="s">
        <v>2</v>
      </c>
      <c r="G17" s="60"/>
      <c r="H17" s="35">
        <f>ROUNDDOWN((B4*48%)/2.5,0)*2.5</f>
        <v>92.5</v>
      </c>
      <c r="I17" s="35" t="s">
        <v>4</v>
      </c>
      <c r="J17" s="68"/>
      <c r="K17" s="37">
        <f>ROUNDDOWN((B4*60%)/2.5,0)*2.5</f>
        <v>117.5</v>
      </c>
      <c r="L17" s="37" t="s">
        <v>3</v>
      </c>
      <c r="M17" s="60"/>
      <c r="N17" s="37">
        <f>ROUNDDOWN((B4*72%)/2.5,0)*2.5</f>
        <v>140</v>
      </c>
      <c r="O17" s="37" t="s">
        <v>5</v>
      </c>
      <c r="P17" s="60"/>
      <c r="Q17" s="37">
        <f>ROUNDDOWN((B4*84%)/2.5,0)*2.5</f>
        <v>165</v>
      </c>
      <c r="R17" s="37" t="s">
        <v>6</v>
      </c>
      <c r="S17" s="64"/>
      <c r="T17" s="37">
        <f>ROUNDDOWN((B4*88%)/2.5,0)*2.5+5</f>
        <v>177.5</v>
      </c>
      <c r="U17" s="37" t="s">
        <v>7</v>
      </c>
      <c r="V17" s="60"/>
      <c r="W17" s="37">
        <f>ROUNDDOWN((B4*88%)/2.5,0)*2.5+7.5</f>
        <v>180</v>
      </c>
      <c r="X17" s="37" t="s">
        <v>7</v>
      </c>
      <c r="Y17" s="60"/>
      <c r="Z17" s="37">
        <f>ROUNDDOWN((B4*88%)/2.5,0)*2.5+5</f>
        <v>177.5</v>
      </c>
      <c r="AA17" s="37" t="s">
        <v>7</v>
      </c>
      <c r="AB17" s="60"/>
      <c r="AC17" s="37">
        <f>ROUNDDOWN((B4*88%)/2.5,0)*2.5+2.5</f>
        <v>175</v>
      </c>
      <c r="AD17" s="37" t="s">
        <v>7</v>
      </c>
      <c r="AE17" s="60"/>
      <c r="AF17" s="37">
        <f>ROUNDDOWN((B4*88%)/2.5,0)*2.5</f>
        <v>172.5</v>
      </c>
      <c r="AG17" s="47" t="s">
        <v>7</v>
      </c>
      <c r="AH17" s="19"/>
      <c r="AI17" s="19"/>
      <c r="AJ17" s="19"/>
      <c r="AK17" s="19"/>
      <c r="AL17" s="19"/>
      <c r="AM17" s="19"/>
      <c r="AN17" s="6"/>
      <c r="AO17" s="10"/>
      <c r="AP17" s="11"/>
      <c r="AQ17" s="12"/>
      <c r="AR17" s="2"/>
      <c r="AS17" s="5"/>
    </row>
    <row r="18" spans="1:45" ht="13" customHeight="1">
      <c r="A18" s="43" t="s">
        <v>17</v>
      </c>
      <c r="B18" s="38">
        <f>ROUNDDOWN((B4*20%)/2.5,0)*2.5</f>
        <v>37.5</v>
      </c>
      <c r="C18" s="38" t="s">
        <v>1</v>
      </c>
      <c r="D18" s="72"/>
      <c r="E18" s="44">
        <f>ROUNDDOWN((B4*32%)/2.5,0)*2.5</f>
        <v>62.5</v>
      </c>
      <c r="F18" s="38" t="s">
        <v>2</v>
      </c>
      <c r="G18" s="61"/>
      <c r="H18" s="38">
        <f>ROUNDDOWN((B4*44%)/2.5,0)*2.5</f>
        <v>85</v>
      </c>
      <c r="I18" s="38" t="s">
        <v>4</v>
      </c>
      <c r="J18" s="69"/>
      <c r="K18" s="39">
        <f>ROUNDDOWN((B4*56%)/2.5,0)*2.5</f>
        <v>110</v>
      </c>
      <c r="L18" s="39" t="s">
        <v>3</v>
      </c>
      <c r="M18" s="61"/>
      <c r="N18" s="39">
        <f>ROUNDDOWN((B4*68%)/2.5,0)*2.5</f>
        <v>132.5</v>
      </c>
      <c r="O18" s="39" t="s">
        <v>5</v>
      </c>
      <c r="P18" s="61"/>
      <c r="Q18" s="39">
        <f>ROUNDDOWN((B4*76%)/2.5,0)*2.5+5</f>
        <v>155</v>
      </c>
      <c r="R18" s="39" t="s">
        <v>5</v>
      </c>
      <c r="S18" s="65"/>
      <c r="T18" s="39">
        <f>ROUNDDOWN((B4*76%)/2.5,0)*2.5+10</f>
        <v>160</v>
      </c>
      <c r="U18" s="39" t="s">
        <v>5</v>
      </c>
      <c r="V18" s="61"/>
      <c r="W18" s="39">
        <f>ROUNDDOWN((B4*76%)/2.5,0)*2.5+7.5</f>
        <v>157.5</v>
      </c>
      <c r="X18" s="39" t="s">
        <v>5</v>
      </c>
      <c r="Y18" s="61"/>
      <c r="Z18" s="39">
        <f>ROUNDDOWN((B4*76%)/2.5,0)*2.5+5</f>
        <v>155</v>
      </c>
      <c r="AA18" s="39" t="s">
        <v>5</v>
      </c>
      <c r="AB18" s="61"/>
      <c r="AC18" s="39">
        <f>ROUNDDOWN((B4*76%)/2.5,0)*2.5+2.5</f>
        <v>152.5</v>
      </c>
      <c r="AD18" s="39" t="s">
        <v>5</v>
      </c>
      <c r="AE18" s="61"/>
      <c r="AF18" s="39"/>
      <c r="AG18" s="48"/>
      <c r="AH18" s="19"/>
      <c r="AI18" s="19"/>
      <c r="AJ18" s="19"/>
      <c r="AK18" s="19"/>
      <c r="AL18" s="19"/>
      <c r="AM18" s="19"/>
      <c r="AN18" s="13"/>
      <c r="AO18" s="3"/>
      <c r="AP18" s="4"/>
      <c r="AQ18" s="14"/>
      <c r="AR18" s="2"/>
      <c r="AS18" s="5"/>
    </row>
    <row r="19" spans="1:45" ht="13" customHeight="1">
      <c r="A19" s="42" t="s">
        <v>18</v>
      </c>
      <c r="B19" s="35">
        <f>ROUNDDOWN((B4*24%)/2.5,0)*2.5</f>
        <v>45</v>
      </c>
      <c r="C19" s="35" t="s">
        <v>1</v>
      </c>
      <c r="D19" s="71"/>
      <c r="E19" s="36">
        <f>ROUNDDOWN((B4*36%)/2.5,0)*2.5</f>
        <v>70</v>
      </c>
      <c r="F19" s="35" t="s">
        <v>2</v>
      </c>
      <c r="G19" s="60"/>
      <c r="H19" s="35">
        <f>ROUNDDOWN((B4*48%)/2.5,0)*2.5</f>
        <v>92.5</v>
      </c>
      <c r="I19" s="35" t="s">
        <v>4</v>
      </c>
      <c r="J19" s="68"/>
      <c r="K19" s="37">
        <f>ROUNDDOWN((B4*60%)/2.5,0)*2.5</f>
        <v>117.5</v>
      </c>
      <c r="L19" s="37" t="s">
        <v>3</v>
      </c>
      <c r="M19" s="60"/>
      <c r="N19" s="37">
        <f>ROUNDDOWN((B4*72%)/2.5,0)*2.5</f>
        <v>140</v>
      </c>
      <c r="O19" s="37" t="s">
        <v>5</v>
      </c>
      <c r="P19" s="60"/>
      <c r="Q19" s="37">
        <f>ROUNDDOWN((B4*84%)/2.5,0)*2.5</f>
        <v>165</v>
      </c>
      <c r="R19" s="37" t="s">
        <v>6</v>
      </c>
      <c r="S19" s="64"/>
      <c r="T19" s="37">
        <f>ROUNDDOWN((B4*88%)/2.5,0)*2.5+5</f>
        <v>177.5</v>
      </c>
      <c r="U19" s="37" t="s">
        <v>7</v>
      </c>
      <c r="V19" s="60"/>
      <c r="W19" s="37">
        <f>ROUNDDOWN((B4*88%)/2.5,0)*2.5+10</f>
        <v>182.5</v>
      </c>
      <c r="X19" s="37" t="s">
        <v>7</v>
      </c>
      <c r="Y19" s="60"/>
      <c r="Z19" s="37">
        <f>ROUNDDOWN((B4*88%)/2.5,0)*2.5+7.5</f>
        <v>180</v>
      </c>
      <c r="AA19" s="37" t="s">
        <v>7</v>
      </c>
      <c r="AB19" s="60"/>
      <c r="AC19" s="37">
        <f>ROUNDDOWN((B4*88%)/2.5,0)*2.5+5</f>
        <v>177.5</v>
      </c>
      <c r="AD19" s="37" t="s">
        <v>7</v>
      </c>
      <c r="AE19" s="60"/>
      <c r="AF19" s="37">
        <f>ROUNDDOWN((B4*88%)/2.5,0)*2.5+2.5</f>
        <v>175</v>
      </c>
      <c r="AG19" s="47" t="s">
        <v>7</v>
      </c>
      <c r="AH19" s="19"/>
      <c r="AI19" s="19"/>
      <c r="AJ19" s="19"/>
      <c r="AK19" s="19"/>
      <c r="AL19" s="19"/>
      <c r="AM19" s="19"/>
      <c r="AN19" s="13"/>
      <c r="AO19" s="3"/>
      <c r="AP19" s="4"/>
      <c r="AQ19" s="14"/>
      <c r="AR19" s="2"/>
      <c r="AS19" s="5"/>
    </row>
    <row r="20" spans="1:45" ht="13" customHeight="1">
      <c r="A20" s="43" t="s">
        <v>19</v>
      </c>
      <c r="B20" s="38">
        <f>ROUNDDOWN((B4*20%)/2.5,0)*2.5</f>
        <v>37.5</v>
      </c>
      <c r="C20" s="38" t="s">
        <v>1</v>
      </c>
      <c r="D20" s="72"/>
      <c r="E20" s="44">
        <f>ROUNDDOWN((B4*32%)/2.5,0)*2.5</f>
        <v>62.5</v>
      </c>
      <c r="F20" s="38" t="s">
        <v>2</v>
      </c>
      <c r="G20" s="61"/>
      <c r="H20" s="38">
        <f>ROUNDDOWN((B4*44%)/2.5,0)*2.5</f>
        <v>85</v>
      </c>
      <c r="I20" s="38" t="s">
        <v>4</v>
      </c>
      <c r="J20" s="69"/>
      <c r="K20" s="39">
        <f>ROUNDDOWN((B4*56%)/2.5,0)*2.5</f>
        <v>110</v>
      </c>
      <c r="L20" s="39" t="s">
        <v>3</v>
      </c>
      <c r="M20" s="61"/>
      <c r="N20" s="39">
        <f>ROUNDDOWN((B4*68%)/2.5,0)*2.5</f>
        <v>132.5</v>
      </c>
      <c r="O20" s="39" t="s">
        <v>5</v>
      </c>
      <c r="P20" s="61"/>
      <c r="Q20" s="39">
        <f>ROUNDDOWN((B4*76%)/2.5,0)*2.5+5</f>
        <v>155</v>
      </c>
      <c r="R20" s="39" t="s">
        <v>5</v>
      </c>
      <c r="S20" s="65"/>
      <c r="T20" s="39">
        <f>ROUNDDOWN((B4*76%)/2.5,0)*2.5+10</f>
        <v>160</v>
      </c>
      <c r="U20" s="39" t="s">
        <v>5</v>
      </c>
      <c r="V20" s="61"/>
      <c r="W20" s="39">
        <f>ROUNDDOWN((B4*76%)/2.5,0)*2.5+10</f>
        <v>160</v>
      </c>
      <c r="X20" s="39" t="s">
        <v>5</v>
      </c>
      <c r="Y20" s="61"/>
      <c r="Z20" s="39">
        <f>ROUNDDOWN((B4*76%)/2.5,0)*2.5+7.5</f>
        <v>157.5</v>
      </c>
      <c r="AA20" s="39" t="s">
        <v>5</v>
      </c>
      <c r="AB20" s="61"/>
      <c r="AC20" s="39">
        <f>ROUNDDOWN((B4*76%)/2.5,0)*2.5+5</f>
        <v>155</v>
      </c>
      <c r="AD20" s="39" t="s">
        <v>5</v>
      </c>
      <c r="AE20" s="61"/>
      <c r="AF20" s="39"/>
      <c r="AG20" s="48"/>
      <c r="AH20" s="19"/>
      <c r="AI20" s="19"/>
      <c r="AJ20" s="19"/>
      <c r="AK20" s="19"/>
      <c r="AL20" s="19"/>
      <c r="AM20" s="19"/>
      <c r="AN20" s="13"/>
      <c r="AO20" s="3"/>
      <c r="AP20" s="4"/>
      <c r="AQ20" s="14"/>
      <c r="AR20" s="2"/>
      <c r="AS20" s="5"/>
    </row>
    <row r="21" spans="1:45" ht="13" customHeight="1">
      <c r="A21" s="42" t="s">
        <v>20</v>
      </c>
      <c r="B21" s="35">
        <f>ROUNDDOWN((B4*24%)/2.5,0)*2.5</f>
        <v>45</v>
      </c>
      <c r="C21" s="35" t="s">
        <v>1</v>
      </c>
      <c r="D21" s="71"/>
      <c r="E21" s="36">
        <f>ROUNDDOWN((B4*36%)/2.5,0)*2.5</f>
        <v>70</v>
      </c>
      <c r="F21" s="35" t="s">
        <v>2</v>
      </c>
      <c r="G21" s="60"/>
      <c r="H21" s="35">
        <f>ROUNDDOWN((B4*48%)/2.5,0)*2.5</f>
        <v>92.5</v>
      </c>
      <c r="I21" s="35" t="s">
        <v>4</v>
      </c>
      <c r="J21" s="68"/>
      <c r="K21" s="37">
        <f>ROUNDDOWN((B4*60%)/2.5,0)*2.5</f>
        <v>117.5</v>
      </c>
      <c r="L21" s="37" t="s">
        <v>3</v>
      </c>
      <c r="M21" s="60"/>
      <c r="N21" s="37">
        <f>ROUNDDOWN((B4*72%)/2.5,0)*2.5</f>
        <v>140</v>
      </c>
      <c r="O21" s="37" t="s">
        <v>5</v>
      </c>
      <c r="P21" s="60"/>
      <c r="Q21" s="37">
        <f>ROUNDDOWN((B4*84%)/2.5,0)*2.5</f>
        <v>165</v>
      </c>
      <c r="R21" s="37" t="s">
        <v>6</v>
      </c>
      <c r="S21" s="64"/>
      <c r="T21" s="37">
        <f>ROUNDDOWN((B4*88%)/2.5,0)*2.5+5</f>
        <v>177.5</v>
      </c>
      <c r="U21" s="37" t="s">
        <v>7</v>
      </c>
      <c r="V21" s="60"/>
      <c r="W21" s="37">
        <f>ROUNDDOWN((B4*88%)/2.5,0)*2.5+10</f>
        <v>182.5</v>
      </c>
      <c r="X21" s="37" t="s">
        <v>7</v>
      </c>
      <c r="Y21" s="60"/>
      <c r="Z21" s="37">
        <f>ROUNDDOWN((B4*88%)/2.5,0)*2.5+10</f>
        <v>182.5</v>
      </c>
      <c r="AA21" s="37" t="s">
        <v>7</v>
      </c>
      <c r="AB21" s="60"/>
      <c r="AC21" s="37">
        <f>ROUNDDOWN((B4*88%)/2.5,0)*2.5+7.5</f>
        <v>180</v>
      </c>
      <c r="AD21" s="37" t="s">
        <v>7</v>
      </c>
      <c r="AE21" s="60"/>
      <c r="AF21" s="37">
        <f>ROUNDDOWN((B4*88%)/2.5,0)*2.5+5</f>
        <v>177.5</v>
      </c>
      <c r="AG21" s="47" t="s">
        <v>7</v>
      </c>
      <c r="AH21" s="19"/>
      <c r="AI21" s="19"/>
      <c r="AJ21" s="19"/>
      <c r="AK21" s="19"/>
      <c r="AL21" s="19"/>
      <c r="AM21" s="19"/>
      <c r="AN21" s="13"/>
      <c r="AO21" s="3"/>
      <c r="AP21" s="4"/>
      <c r="AQ21" s="14"/>
      <c r="AR21" s="2"/>
      <c r="AS21" s="5"/>
    </row>
    <row r="22" spans="1:45" ht="13" customHeight="1">
      <c r="A22" s="43" t="s">
        <v>21</v>
      </c>
      <c r="B22" s="38">
        <f>ROUNDDOWN((B4*20%)/2.5,0)*2.5</f>
        <v>37.5</v>
      </c>
      <c r="C22" s="38" t="s">
        <v>1</v>
      </c>
      <c r="D22" s="72"/>
      <c r="E22" s="44">
        <f>ROUNDDOWN((B4*32%)/2.5,0)*2.5</f>
        <v>62.5</v>
      </c>
      <c r="F22" s="38" t="s">
        <v>2</v>
      </c>
      <c r="G22" s="61"/>
      <c r="H22" s="38">
        <f>ROUNDDOWN((B4*44%)/2.5,0)*2.5</f>
        <v>85</v>
      </c>
      <c r="I22" s="38" t="s">
        <v>4</v>
      </c>
      <c r="J22" s="69"/>
      <c r="K22" s="39">
        <f>ROUNDDOWN((B4*56%)/2.5,0)*2.5</f>
        <v>110</v>
      </c>
      <c r="L22" s="39" t="s">
        <v>3</v>
      </c>
      <c r="M22" s="61"/>
      <c r="N22" s="39">
        <f>ROUNDDOWN((B4*68%)/2.5,0)*2.5</f>
        <v>132.5</v>
      </c>
      <c r="O22" s="39" t="s">
        <v>5</v>
      </c>
      <c r="P22" s="61"/>
      <c r="Q22" s="39">
        <f>ROUNDDOWN((B4*76%)/2.5,0)*2.5+5</f>
        <v>155</v>
      </c>
      <c r="R22" s="39" t="s">
        <v>5</v>
      </c>
      <c r="S22" s="65"/>
      <c r="T22" s="39">
        <f>ROUNDDOWN((B4*76%)/2.5,0)*2.5+10</f>
        <v>160</v>
      </c>
      <c r="U22" s="39" t="s">
        <v>5</v>
      </c>
      <c r="V22" s="61"/>
      <c r="W22" s="39">
        <f>ROUNDDOWN((B4*76%)/2.5,0)*2.5+10</f>
        <v>160</v>
      </c>
      <c r="X22" s="39" t="s">
        <v>5</v>
      </c>
      <c r="Y22" s="61"/>
      <c r="Z22" s="39">
        <f>ROUNDDOWN((B4*76%)/2.5,0)*2.5+10</f>
        <v>160</v>
      </c>
      <c r="AA22" s="39" t="s">
        <v>5</v>
      </c>
      <c r="AB22" s="61"/>
      <c r="AC22" s="39">
        <f>ROUNDDOWN((B4*76%)/2.5,0)*2.5+7.5</f>
        <v>157.5</v>
      </c>
      <c r="AD22" s="39" t="s">
        <v>5</v>
      </c>
      <c r="AE22" s="61"/>
      <c r="AF22" s="39"/>
      <c r="AG22" s="48"/>
      <c r="AH22" s="19"/>
      <c r="AI22" s="19"/>
      <c r="AJ22" s="19"/>
      <c r="AK22" s="19"/>
      <c r="AL22" s="19"/>
      <c r="AM22" s="19"/>
      <c r="AN22" s="13"/>
      <c r="AO22" s="3"/>
      <c r="AP22" s="4"/>
      <c r="AQ22" s="14"/>
      <c r="AR22" s="2"/>
      <c r="AS22" s="5"/>
    </row>
    <row r="23" spans="1:45" ht="13" customHeight="1">
      <c r="A23" s="45" t="s">
        <v>22</v>
      </c>
      <c r="B23" s="35">
        <f>ROUNDDOWN((B4*24%)/2.5,0)*2.5</f>
        <v>45</v>
      </c>
      <c r="C23" s="35" t="s">
        <v>1</v>
      </c>
      <c r="D23" s="71"/>
      <c r="E23" s="36">
        <f>ROUNDDOWN((B4*36%)/2.5,0)*2.5</f>
        <v>70</v>
      </c>
      <c r="F23" s="35" t="s">
        <v>2</v>
      </c>
      <c r="G23" s="60"/>
      <c r="H23" s="35">
        <f>ROUNDDOWN((B4*48%)/2.5,0)*2.5</f>
        <v>92.5</v>
      </c>
      <c r="I23" s="35" t="s">
        <v>4</v>
      </c>
      <c r="J23" s="68"/>
      <c r="K23" s="37">
        <f>ROUNDDOWN((B4*60%)/2.5,0)*2.5</f>
        <v>117.5</v>
      </c>
      <c r="L23" s="37" t="s">
        <v>3</v>
      </c>
      <c r="M23" s="60"/>
      <c r="N23" s="37">
        <f>ROUNDDOWN((B4*72%)/2.5,0)*2.5</f>
        <v>140</v>
      </c>
      <c r="O23" s="37" t="s">
        <v>5</v>
      </c>
      <c r="P23" s="60"/>
      <c r="Q23" s="37">
        <f>ROUNDDOWN((B4*84%)/2.5,0)*2.5</f>
        <v>165</v>
      </c>
      <c r="R23" s="37" t="s">
        <v>6</v>
      </c>
      <c r="S23" s="64"/>
      <c r="T23" s="37">
        <f>ROUNDDOWN((B4*88%)/2.5,0)*2.5+5</f>
        <v>177.5</v>
      </c>
      <c r="U23" s="37" t="s">
        <v>7</v>
      </c>
      <c r="V23" s="60"/>
      <c r="W23" s="37">
        <f>ROUNDDOWN((B4*88%)/2.5,0)*2.5+10</f>
        <v>182.5</v>
      </c>
      <c r="X23" s="37" t="s">
        <v>7</v>
      </c>
      <c r="Y23" s="60"/>
      <c r="Z23" s="37">
        <f>ROUNDDOWN((B4*88%)/2.5,0)*2.5+10</f>
        <v>182.5</v>
      </c>
      <c r="AA23" s="37" t="s">
        <v>7</v>
      </c>
      <c r="AB23" s="60"/>
      <c r="AC23" s="37">
        <f>ROUNDDOWN((B4*88%)/2.5,0)*2.5+10</f>
        <v>182.5</v>
      </c>
      <c r="AD23" s="37" t="s">
        <v>7</v>
      </c>
      <c r="AE23" s="60"/>
      <c r="AF23" s="37">
        <f>ROUNDDOWN((B4*88%)/2.5,0)*2.5+7.5</f>
        <v>180</v>
      </c>
      <c r="AG23" s="47" t="s">
        <v>7</v>
      </c>
      <c r="AH23" s="19"/>
      <c r="AI23" s="19"/>
      <c r="AJ23" s="19"/>
      <c r="AK23" s="19"/>
      <c r="AL23" s="19"/>
      <c r="AM23" s="19"/>
      <c r="AN23" s="13"/>
      <c r="AO23" s="3"/>
      <c r="AP23" s="4"/>
      <c r="AQ23" s="14"/>
      <c r="AR23" s="2"/>
      <c r="AS23" s="5"/>
    </row>
    <row r="24" spans="1:45" ht="13" customHeight="1">
      <c r="A24" s="43" t="s">
        <v>23</v>
      </c>
      <c r="B24" s="38">
        <f>ROUNDDOWN((B4*20%)/2.5,0)*2.5</f>
        <v>37.5</v>
      </c>
      <c r="C24" s="38" t="s">
        <v>1</v>
      </c>
      <c r="D24" s="72"/>
      <c r="E24" s="44">
        <f>ROUNDDOWN((B4*32%)/2.5,0)*2.5</f>
        <v>62.5</v>
      </c>
      <c r="F24" s="38" t="s">
        <v>2</v>
      </c>
      <c r="G24" s="61"/>
      <c r="H24" s="38">
        <f>ROUNDDOWN((B4*44%)/2.5,0)*2.5</f>
        <v>85</v>
      </c>
      <c r="I24" s="38" t="s">
        <v>4</v>
      </c>
      <c r="J24" s="69"/>
      <c r="K24" s="39">
        <f>ROUNDDOWN((B4*56%)/2.5,0)*2.5</f>
        <v>110</v>
      </c>
      <c r="L24" s="39" t="s">
        <v>3</v>
      </c>
      <c r="M24" s="61"/>
      <c r="N24" s="39">
        <f>ROUNDDOWN((B4*68%)/2.5,0)*2.5</f>
        <v>132.5</v>
      </c>
      <c r="O24" s="39" t="s">
        <v>5</v>
      </c>
      <c r="P24" s="61"/>
      <c r="Q24" s="39">
        <f>ROUNDDOWN((B4*76%)/2.5,0)*2.5+5</f>
        <v>155</v>
      </c>
      <c r="R24" s="39" t="s">
        <v>5</v>
      </c>
      <c r="S24" s="65"/>
      <c r="T24" s="39">
        <f>ROUNDDOWN((B4*76%)/2.5,0)*2.5+10</f>
        <v>160</v>
      </c>
      <c r="U24" s="39" t="s">
        <v>5</v>
      </c>
      <c r="V24" s="61"/>
      <c r="W24" s="39">
        <f>ROUNDDOWN((B4*76%)/2.5,0)*2.5+10</f>
        <v>160</v>
      </c>
      <c r="X24" s="39" t="s">
        <v>5</v>
      </c>
      <c r="Y24" s="61"/>
      <c r="Z24" s="39">
        <f>ROUNDDOWN((B4*76%)/2.5,0)*2.5+10</f>
        <v>160</v>
      </c>
      <c r="AA24" s="39" t="s">
        <v>5</v>
      </c>
      <c r="AB24" s="61"/>
      <c r="AC24" s="39">
        <f>ROUNDDOWN((B4*76%)/2.5,0)*2.5+10</f>
        <v>160</v>
      </c>
      <c r="AD24" s="39" t="s">
        <v>5</v>
      </c>
      <c r="AE24" s="61"/>
      <c r="AF24" s="39"/>
      <c r="AG24" s="48"/>
      <c r="AH24" s="19"/>
      <c r="AI24" s="19"/>
      <c r="AJ24" s="19"/>
      <c r="AK24" s="19"/>
      <c r="AL24" s="19"/>
      <c r="AM24" s="19"/>
      <c r="AN24" s="13"/>
      <c r="AO24" s="3"/>
      <c r="AP24" s="4"/>
      <c r="AQ24" s="14"/>
      <c r="AR24" s="2"/>
      <c r="AS24" s="5"/>
    </row>
    <row r="25" spans="1:45" ht="13" customHeight="1">
      <c r="A25" s="42" t="s">
        <v>24</v>
      </c>
      <c r="B25" s="35">
        <f>ROUNDDOWN((B4*24%)/2.5,0)*2.5</f>
        <v>45</v>
      </c>
      <c r="C25" s="35" t="s">
        <v>1</v>
      </c>
      <c r="D25" s="71"/>
      <c r="E25" s="36">
        <f>ROUNDDOWN((B4*36%)/2.5,0)*2.5</f>
        <v>70</v>
      </c>
      <c r="F25" s="35" t="s">
        <v>2</v>
      </c>
      <c r="G25" s="60"/>
      <c r="H25" s="35">
        <f>ROUNDDOWN((B4*48%)/2.5,0)*2.5</f>
        <v>92.5</v>
      </c>
      <c r="I25" s="35" t="s">
        <v>4</v>
      </c>
      <c r="J25" s="68"/>
      <c r="K25" s="37">
        <f>ROUNDDOWN((B4*60%)/2.5,0)*2.5</f>
        <v>117.5</v>
      </c>
      <c r="L25" s="37" t="s">
        <v>3</v>
      </c>
      <c r="M25" s="60"/>
      <c r="N25" s="37">
        <f>ROUNDDOWN((B4*72%)/2.5,0)*2.5</f>
        <v>140</v>
      </c>
      <c r="O25" s="37" t="s">
        <v>5</v>
      </c>
      <c r="P25" s="60"/>
      <c r="Q25" s="37">
        <f>ROUNDDOWN((B4*84%)/2.5,0)*2.5</f>
        <v>165</v>
      </c>
      <c r="R25" s="37" t="s">
        <v>6</v>
      </c>
      <c r="S25" s="64"/>
      <c r="T25" s="37">
        <f>ROUNDDOWN((B4*88%)/2.5,0)*2.5+5</f>
        <v>177.5</v>
      </c>
      <c r="U25" s="37" t="s">
        <v>7</v>
      </c>
      <c r="V25" s="60"/>
      <c r="W25" s="37">
        <f>ROUNDDOWN((B4*88%)/2.5,0)*2.5+10</f>
        <v>182.5</v>
      </c>
      <c r="X25" s="37" t="s">
        <v>7</v>
      </c>
      <c r="Y25" s="60"/>
      <c r="Z25" s="37">
        <f>ROUNDDOWN((B4*88%)/2.5,0)*2.5+10</f>
        <v>182.5</v>
      </c>
      <c r="AA25" s="37" t="s">
        <v>7</v>
      </c>
      <c r="AB25" s="60"/>
      <c r="AC25" s="37">
        <f>ROUNDDOWN((B4*88%)/2.5,0)*2.5+10</f>
        <v>182.5</v>
      </c>
      <c r="AD25" s="37" t="s">
        <v>7</v>
      </c>
      <c r="AE25" s="60"/>
      <c r="AF25" s="37">
        <f>ROUNDDOWN((B4*88%)/2.5,0)*2.5+10</f>
        <v>182.5</v>
      </c>
      <c r="AG25" s="47" t="s">
        <v>7</v>
      </c>
      <c r="AH25" s="19"/>
      <c r="AI25" s="19"/>
      <c r="AJ25" s="19"/>
      <c r="AK25" s="19"/>
      <c r="AL25" s="19"/>
      <c r="AM25" s="19"/>
      <c r="AN25" s="8"/>
      <c r="AO25" s="15"/>
      <c r="AP25" s="16"/>
      <c r="AQ25" s="14"/>
      <c r="AR25" s="2"/>
      <c r="AS25" s="5"/>
    </row>
    <row r="26" spans="1:45" ht="13" customHeight="1">
      <c r="A26" s="43" t="s">
        <v>25</v>
      </c>
      <c r="B26" s="38">
        <f>ROUNDDOWN((B4*20%)/2.5,0)*2.5</f>
        <v>37.5</v>
      </c>
      <c r="C26" s="38" t="s">
        <v>1</v>
      </c>
      <c r="D26" s="72"/>
      <c r="E26" s="44">
        <f>ROUNDDOWN((B4*32%)/2.5,0)*2.5</f>
        <v>62.5</v>
      </c>
      <c r="F26" s="38" t="s">
        <v>2</v>
      </c>
      <c r="G26" s="61"/>
      <c r="H26" s="38">
        <f>ROUNDDOWN((B4*44%)/2.5,0)*2.5</f>
        <v>85</v>
      </c>
      <c r="I26" s="38" t="s">
        <v>4</v>
      </c>
      <c r="J26" s="69"/>
      <c r="K26" s="39">
        <f>ROUNDDOWN((B4*56%)/2.5,0)*2.5</f>
        <v>110</v>
      </c>
      <c r="L26" s="39" t="s">
        <v>3</v>
      </c>
      <c r="M26" s="61"/>
      <c r="N26" s="39">
        <f>ROUNDDOWN((B4*68%)/2.5,0)*2.5</f>
        <v>132.5</v>
      </c>
      <c r="O26" s="39" t="s">
        <v>5</v>
      </c>
      <c r="P26" s="61"/>
      <c r="Q26" s="39">
        <f>ROUNDDOWN((B4*72%)/2.5,0)*2.5</f>
        <v>140</v>
      </c>
      <c r="R26" s="39" t="s">
        <v>5</v>
      </c>
      <c r="S26" s="65"/>
      <c r="T26" s="39">
        <f>ROUNDDOWN((B4*72%)/2.5,0)*2.5</f>
        <v>140</v>
      </c>
      <c r="U26" s="39" t="s">
        <v>5</v>
      </c>
      <c r="V26" s="61"/>
      <c r="W26" s="39">
        <f>ROUNDDOWN((B4*72%)/2.5,0)*2.5</f>
        <v>140</v>
      </c>
      <c r="X26" s="39" t="s">
        <v>5</v>
      </c>
      <c r="Y26" s="61"/>
      <c r="Z26" s="39"/>
      <c r="AA26" s="38"/>
      <c r="AB26" s="36"/>
      <c r="AC26" s="38"/>
      <c r="AD26" s="38"/>
      <c r="AE26" s="36"/>
      <c r="AF26" s="38"/>
      <c r="AG26" s="49"/>
      <c r="AH26" s="20"/>
      <c r="AI26" s="20"/>
      <c r="AJ26" s="20"/>
      <c r="AK26" s="22"/>
      <c r="AL26" s="23"/>
      <c r="AM26" s="24"/>
    </row>
    <row r="27" spans="1:45" ht="13" customHeight="1" thickBot="1">
      <c r="A27" s="50" t="s">
        <v>28</v>
      </c>
      <c r="B27" s="51">
        <f>ROUNDDOWN((B4*28%)/2.5,0)*2.5</f>
        <v>55</v>
      </c>
      <c r="C27" s="51" t="s">
        <v>1</v>
      </c>
      <c r="D27" s="73"/>
      <c r="E27" s="52">
        <f>ROUNDDOWN((B4*44%)/2.5,0)*2.5</f>
        <v>85</v>
      </c>
      <c r="F27" s="51" t="s">
        <v>4</v>
      </c>
      <c r="G27" s="62"/>
      <c r="H27" s="51">
        <f>ROUNDDOWN((B4*60%)/2.5,0)*2.5</f>
        <v>117.5</v>
      </c>
      <c r="I27" s="51" t="s">
        <v>3</v>
      </c>
      <c r="J27" s="70"/>
      <c r="K27" s="53">
        <f>ROUNDDOWN((B4*72%)/2.5,0)*2.5</f>
        <v>140</v>
      </c>
      <c r="L27" s="53" t="s">
        <v>5</v>
      </c>
      <c r="M27" s="62"/>
      <c r="N27" s="53">
        <f>ROUNDDOWN((B4*80%)/2.5,0)*2.5</f>
        <v>157.5</v>
      </c>
      <c r="O27" s="53" t="s">
        <v>6</v>
      </c>
      <c r="P27" s="62"/>
      <c r="Q27" s="53">
        <f>ROUNDDOWN((B4*88%)/2.5,0)*2.5</f>
        <v>172.5</v>
      </c>
      <c r="R27" s="53" t="s">
        <v>8</v>
      </c>
      <c r="S27" s="66"/>
      <c r="T27" s="53">
        <f>ROUNDDOWN((B4*96%)/2.5,0)*2.5</f>
        <v>187.5</v>
      </c>
      <c r="U27" s="53" t="s">
        <v>8</v>
      </c>
      <c r="V27" s="62"/>
      <c r="W27" s="53">
        <f>ROUNDDOWN((B4*100%)/2.5,0)*2.5</f>
        <v>197.5</v>
      </c>
      <c r="X27" s="53" t="s">
        <v>8</v>
      </c>
      <c r="Y27" s="54"/>
      <c r="Z27" s="75" t="s">
        <v>26</v>
      </c>
      <c r="AA27" s="75"/>
      <c r="AB27" s="75"/>
      <c r="AC27" s="75"/>
      <c r="AD27" s="75"/>
      <c r="AE27" s="75"/>
      <c r="AF27" s="75"/>
      <c r="AG27" s="76"/>
      <c r="AH27" s="19"/>
      <c r="AI27" s="19"/>
      <c r="AJ27" s="20"/>
      <c r="AK27" s="22"/>
      <c r="AL27" s="21"/>
      <c r="AM27" s="21"/>
    </row>
    <row r="28" spans="1:45" ht="14" customHeight="1">
      <c r="A28" s="18"/>
      <c r="B28" s="18"/>
      <c r="C28" s="18"/>
      <c r="D28" s="18"/>
      <c r="E28" s="30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83"/>
      <c r="AD28" s="83"/>
      <c r="AE28" s="29"/>
      <c r="AF28" s="29"/>
      <c r="AG28" s="29"/>
      <c r="AH28" s="25"/>
      <c r="AI28" s="26"/>
      <c r="AJ28" s="27"/>
      <c r="AK28" s="28"/>
      <c r="AL28" s="23"/>
      <c r="AM28" s="21"/>
    </row>
    <row r="29" spans="1:45" ht="27" customHeight="1">
      <c r="A29" s="84" t="s">
        <v>34</v>
      </c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19"/>
      <c r="AI29" s="19"/>
      <c r="AJ29" s="19"/>
      <c r="AK29" s="19"/>
      <c r="AL29" s="19"/>
      <c r="AM29" s="18"/>
    </row>
    <row r="30" spans="1:45">
      <c r="A30" s="18"/>
      <c r="B30" s="81"/>
      <c r="C30" s="81"/>
      <c r="D30" s="81"/>
      <c r="E30" s="81"/>
      <c r="F30" s="81"/>
      <c r="G30" s="81"/>
      <c r="H30" s="81"/>
      <c r="I30" s="81"/>
      <c r="J30" s="31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9"/>
      <c r="AI30" s="19"/>
      <c r="AJ30" s="19"/>
      <c r="AK30" s="19"/>
      <c r="AL30" s="19"/>
      <c r="AM30" s="18"/>
    </row>
    <row r="31" spans="1:45" ht="16">
      <c r="B31" s="74"/>
      <c r="C31" s="74"/>
      <c r="D31" s="74"/>
      <c r="E31" s="74"/>
      <c r="F31" s="74"/>
      <c r="G31" s="74"/>
      <c r="H31" s="74"/>
      <c r="I31" s="74"/>
      <c r="J31" s="74"/>
      <c r="K31" s="74"/>
      <c r="AH31" s="2"/>
      <c r="AI31" s="2"/>
      <c r="AJ31" s="2"/>
      <c r="AK31" s="2"/>
      <c r="AL31" s="2"/>
    </row>
    <row r="32" spans="1:45" ht="16">
      <c r="B32" s="17"/>
      <c r="C32" s="17"/>
      <c r="D32" s="17"/>
      <c r="F32" s="17"/>
      <c r="G32" s="17"/>
      <c r="H32" s="17"/>
      <c r="I32" s="17"/>
      <c r="J32" s="17"/>
      <c r="AH32" s="2"/>
      <c r="AI32" s="2"/>
      <c r="AJ32" s="2"/>
      <c r="AK32" s="2"/>
      <c r="AL32" s="2"/>
    </row>
    <row r="33" spans="34:38" ht="16">
      <c r="AH33" s="2"/>
      <c r="AI33" s="2"/>
      <c r="AJ33" s="2"/>
      <c r="AK33" s="2"/>
      <c r="AL33" s="2"/>
    </row>
    <row r="34" spans="34:38" ht="16">
      <c r="AH34" s="2"/>
      <c r="AI34" s="2"/>
      <c r="AJ34" s="2"/>
      <c r="AK34" s="2"/>
      <c r="AL34" s="2"/>
    </row>
    <row r="35" spans="34:38" ht="16">
      <c r="AH35" s="2"/>
    </row>
    <row r="36" spans="34:38" ht="16">
      <c r="AH36" s="2"/>
    </row>
    <row r="37" spans="34:38" ht="16">
      <c r="AH37" s="2"/>
    </row>
  </sheetData>
  <autoFilter ref="A9:A27" xr:uid="{00000000-0001-0000-0000-000000000000}"/>
  <mergeCells count="9">
    <mergeCell ref="B31:K31"/>
    <mergeCell ref="Z27:AG27"/>
    <mergeCell ref="B9:AG9"/>
    <mergeCell ref="A5:AG5"/>
    <mergeCell ref="A7:AG7"/>
    <mergeCell ref="A8:AG8"/>
    <mergeCell ref="AC28:AD28"/>
    <mergeCell ref="B30:I30"/>
    <mergeCell ref="A29:AG29"/>
  </mergeCells>
  <pageMargins left="0.75" right="0.75" top="1" bottom="1" header="0.5" footer="0.5"/>
  <pageSetup paperSize="9" fitToWidth="0" fitToHeight="0" orientation="landscape" r:id="rId1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Лист1!$B$3:$B$4</xm:f>
          </x14:formula1>
          <xm:sqref>D10:D27 G10:G27 J10:J27 M10:M27 P10:P27 S10:S27 V10:V27 Y10:Y27 AB10:AB25 AE10:AE25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B4"/>
  <sheetViews>
    <sheetView workbookViewId="0">
      <selection activeCell="E7" sqref="E7"/>
    </sheetView>
  </sheetViews>
  <sheetFormatPr baseColWidth="10" defaultColWidth="8.83203125" defaultRowHeight="13"/>
  <sheetData>
    <row r="3" spans="2:2" ht="18">
      <c r="B3" s="57" t="s">
        <v>33</v>
      </c>
    </row>
    <row r="4" spans="2:2" ht="18">
      <c r="B4" s="57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Расчет</vt:lpstr>
      <vt:lpstr>Лист1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Microsoft Office User</cp:lastModifiedBy>
  <dcterms:created xsi:type="dcterms:W3CDTF">2013-11-13T15:49:20Z</dcterms:created>
  <dcterms:modified xsi:type="dcterms:W3CDTF">2026-01-20T17:01:12Z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5a405cd2f832453db833583c09d0fb19</vt:lpwstr>
  </property>
</Properties>
</file>