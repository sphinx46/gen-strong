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ordvinovila/Downloads/"/>
    </mc:Choice>
  </mc:AlternateContent>
  <xr:revisionPtr revIDLastSave="0" documentId="8_{35B416EF-95AB-9547-8BEA-FB83B8256229}" xr6:coauthVersionLast="47" xr6:coauthVersionMax="47" xr10:uidLastSave="{00000000-0000-0000-0000-000000000000}"/>
  <bookViews>
    <workbookView xWindow="0" yWindow="0" windowWidth="28800" windowHeight="18000" xr2:uid="{3210A876-582C-3641-8B0C-6330A9FD6F42}"/>
  </bookViews>
  <sheets>
    <sheet name="Расчет" sheetId="1" r:id="rId1"/>
    <sheet name="Проценты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" i="1" l="1"/>
  <c r="P26" i="1"/>
  <c r="N26" i="1"/>
  <c r="L26" i="1"/>
  <c r="J26" i="1"/>
  <c r="H26" i="1"/>
  <c r="F26" i="1"/>
  <c r="D26" i="1"/>
  <c r="B26" i="1"/>
  <c r="N10" i="1"/>
  <c r="L10" i="1"/>
  <c r="J10" i="1"/>
  <c r="H10" i="1"/>
  <c r="F10" i="1"/>
  <c r="D10" i="1"/>
  <c r="B10" i="1"/>
  <c r="J25" i="1"/>
  <c r="H25" i="1"/>
  <c r="F25" i="1"/>
  <c r="D25" i="1"/>
  <c r="B25" i="1"/>
  <c r="L25" i="1"/>
  <c r="L24" i="1"/>
  <c r="J24" i="1"/>
  <c r="H24" i="1"/>
  <c r="F24" i="1"/>
  <c r="D24" i="1"/>
  <c r="B24" i="1"/>
  <c r="P24" i="1"/>
  <c r="N24" i="1"/>
  <c r="J23" i="1"/>
  <c r="H23" i="1"/>
  <c r="F23" i="1"/>
  <c r="D23" i="1"/>
  <c r="B23" i="1"/>
  <c r="N23" i="1"/>
  <c r="L23" i="1"/>
  <c r="L22" i="1"/>
  <c r="J22" i="1"/>
  <c r="H22" i="1"/>
  <c r="F22" i="1"/>
  <c r="D22" i="1"/>
  <c r="B22" i="1"/>
  <c r="R22" i="1"/>
  <c r="P22" i="1"/>
  <c r="N22" i="1"/>
  <c r="J21" i="1"/>
  <c r="H21" i="1"/>
  <c r="F21" i="1"/>
  <c r="D21" i="1"/>
  <c r="B21" i="1"/>
  <c r="P21" i="1"/>
  <c r="N21" i="1"/>
  <c r="L21" i="1"/>
  <c r="L20" i="1"/>
  <c r="J20" i="1"/>
  <c r="H20" i="1"/>
  <c r="F20" i="1"/>
  <c r="D20" i="1"/>
  <c r="B20" i="1"/>
  <c r="T20" i="1"/>
  <c r="R20" i="1"/>
  <c r="P20" i="1"/>
  <c r="N20" i="1"/>
  <c r="J19" i="1"/>
  <c r="H19" i="1"/>
  <c r="F19" i="1"/>
  <c r="D19" i="1"/>
  <c r="B19" i="1"/>
  <c r="R19" i="1"/>
  <c r="P19" i="1"/>
  <c r="N19" i="1"/>
  <c r="L19" i="1"/>
  <c r="L18" i="1"/>
  <c r="J18" i="1"/>
  <c r="H18" i="1"/>
  <c r="F18" i="1"/>
  <c r="D18" i="1"/>
  <c r="B18" i="1"/>
  <c r="V18" i="1"/>
  <c r="T18" i="1"/>
  <c r="R18" i="1"/>
  <c r="P18" i="1"/>
  <c r="N18" i="1"/>
  <c r="J17" i="1"/>
  <c r="H17" i="1"/>
  <c r="F17" i="1"/>
  <c r="D17" i="1"/>
  <c r="B17" i="1"/>
  <c r="T17" i="1"/>
  <c r="R17" i="1"/>
  <c r="P17" i="1"/>
  <c r="N17" i="1"/>
  <c r="L17" i="1"/>
  <c r="L16" i="1"/>
  <c r="J16" i="1"/>
  <c r="H16" i="1"/>
  <c r="F16" i="1"/>
  <c r="D16" i="1"/>
  <c r="B16" i="1"/>
  <c r="V16" i="1"/>
  <c r="T16" i="1"/>
  <c r="R16" i="1"/>
  <c r="P16" i="1"/>
  <c r="N16" i="1"/>
  <c r="J15" i="1"/>
  <c r="H15" i="1"/>
  <c r="F15" i="1"/>
  <c r="D15" i="1"/>
  <c r="B15" i="1"/>
  <c r="T15" i="1"/>
  <c r="R15" i="1"/>
  <c r="P15" i="1"/>
  <c r="N15" i="1"/>
  <c r="L15" i="1"/>
  <c r="L14" i="1"/>
  <c r="J14" i="1"/>
  <c r="H14" i="1"/>
  <c r="F14" i="1"/>
  <c r="D14" i="1"/>
  <c r="B14" i="1"/>
  <c r="R14" i="1"/>
  <c r="P14" i="1"/>
  <c r="N14" i="1"/>
  <c r="J13" i="1"/>
  <c r="H13" i="1"/>
  <c r="F13" i="1"/>
  <c r="D13" i="1"/>
  <c r="B13" i="1"/>
  <c r="P13" i="1"/>
  <c r="N13" i="1"/>
  <c r="L13" i="1"/>
  <c r="P12" i="1"/>
  <c r="N12" i="1"/>
  <c r="L12" i="1"/>
  <c r="J12" i="1"/>
  <c r="H12" i="1"/>
  <c r="F12" i="1"/>
  <c r="D12" i="1"/>
  <c r="B12" i="1"/>
  <c r="L9" i="1"/>
  <c r="N11" i="1"/>
  <c r="L11" i="1"/>
  <c r="J11" i="1"/>
  <c r="H11" i="1"/>
  <c r="F11" i="1"/>
  <c r="D11" i="1"/>
  <c r="B11" i="1"/>
  <c r="J9" i="1"/>
  <c r="H9" i="1"/>
  <c r="F9" i="1"/>
  <c r="D9" i="1"/>
  <c r="B9" i="1"/>
</calcChain>
</file>

<file path=xl/sharedStrings.xml><?xml version="1.0" encoding="utf-8"?>
<sst xmlns="http://schemas.openxmlformats.org/spreadsheetml/2006/main" count="201" uniqueCount="63">
  <si>
    <t>Система Гусеница (новая) Суровецкого А. Е.</t>
  </si>
  <si>
    <t>ПМ</t>
  </si>
  <si>
    <t>Первые подходы:</t>
  </si>
  <si>
    <t>Дальше по тренировкам (после первых подходов):</t>
  </si>
  <si>
    <t>/5*4</t>
  </si>
  <si>
    <t>/8</t>
  </si>
  <si>
    <t>/7</t>
  </si>
  <si>
    <t>/5</t>
  </si>
  <si>
    <t>/6</t>
  </si>
  <si>
    <t>/4</t>
  </si>
  <si>
    <t>/3</t>
  </si>
  <si>
    <t>/5*2</t>
  </si>
  <si>
    <t>/4*4</t>
  </si>
  <si>
    <t>/2</t>
  </si>
  <si>
    <t>/4*2</t>
  </si>
  <si>
    <t>/3*4</t>
  </si>
  <si>
    <t>/3*2</t>
  </si>
  <si>
    <t>/2*4</t>
  </si>
  <si>
    <t>/2*2</t>
  </si>
  <si>
    <t>/1</t>
  </si>
  <si>
    <t>- в нечётных тренировках (1,3, итд): 20/8, 32/7, 44/6, 56/5, 68/4,</t>
  </si>
  <si>
    <t>- в чётных тренировках: 24/8, 36/7, 48/6, 60/5, 72/4, 84/3.</t>
  </si>
  <si>
    <t>1. 76/5х4</t>
  </si>
  <si>
    <t>2. 88/5х2</t>
  </si>
  <si>
    <t>3. 78/4, 76/4х4</t>
  </si>
  <si>
    <t>4. 90/2, 88/4х2</t>
  </si>
  <si>
    <t>5. 80/4, 78/4, 76/3х4</t>
  </si>
  <si>
    <t>6. 92/2, 90/2, 88/3х2</t>
  </si>
  <si>
    <t>7. 80/4, 82/4, 80/4, 78/4, 76/4</t>
  </si>
  <si>
    <t>8. 92/2, 94/2, 92/2, 90/2, 88/2</t>
  </si>
  <si>
    <t>9. 80/4, 84/4, 82/4, 80/4, 78/4</t>
  </si>
  <si>
    <t>10. 92/2, 96/2, 94/2, 92/2, 90/2</t>
  </si>
  <si>
    <t>11. 80/4, 84/2х4, 82/4, 80/4</t>
  </si>
  <si>
    <t>12. 92/2, 96/2х2, 94/2, 92/2</t>
  </si>
  <si>
    <t>13. 80/4, 84/3х4, 82/4</t>
  </si>
  <si>
    <t>14. 92/2, 96/3х2, 94/2</t>
  </si>
  <si>
    <t>15. 80/4, 84/4х4</t>
  </si>
  <si>
    <t>16. 92/2, 96/4х2</t>
  </si>
  <si>
    <t>17. 72/3х4</t>
  </si>
  <si>
    <t>18. Проходка: 28/8, 44/6, 60/5, 72/4, 80/3, 88/1, 96/1, 100/1 и дальше до максимума.</t>
  </si>
  <si>
    <t>19.10.13 </t>
  </si>
  <si>
    <t>Вместо 2%, на которые везде изменяется вес, проще брать 2,5 кг.</t>
  </si>
  <si>
    <t>Подходы, выделенные красным - рабочие. До них идет разминка.</t>
  </si>
  <si>
    <t>Проходка - тренировка, где максимальный вес выполняется на 1 повторение.</t>
  </si>
  <si>
    <t>1 тренировка:</t>
  </si>
  <si>
    <t>2 тренировка:</t>
  </si>
  <si>
    <t>3 тренировка:</t>
  </si>
  <si>
    <t>4 тренировка:</t>
  </si>
  <si>
    <t>5 тренировка:</t>
  </si>
  <si>
    <t>6 тренировка:</t>
  </si>
  <si>
    <t>7 тренировка:</t>
  </si>
  <si>
    <t>8 тренировка:</t>
  </si>
  <si>
    <t>9 тренировка:</t>
  </si>
  <si>
    <t>10 тренировка:</t>
  </si>
  <si>
    <t>11 тренировка:</t>
  </si>
  <si>
    <t>12 тренировка:</t>
  </si>
  <si>
    <t>13 тренировка:</t>
  </si>
  <si>
    <t>14 тренировка:</t>
  </si>
  <si>
    <t>15 тренировка:</t>
  </si>
  <si>
    <t>16 тренировка:</t>
  </si>
  <si>
    <t>17 тренировка:</t>
  </si>
  <si>
    <t>18 тренировка(проходка):</t>
  </si>
  <si>
    <t>и дальше до максимума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</si>
</sst>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name val="Arial Cyr"/>
      <charset val="204"/>
    </font>
    <font>
      <sz val="8"/>
      <color indexed="8"/>
      <name val="Tahoma"/>
      <family val="2"/>
      <charset val="204"/>
    </font>
    <font>
      <u/>
      <sz val="10"/>
      <color indexed="12"/>
      <name val="Arial Cyr"/>
      <charset val="204"/>
    </font>
    <font>
      <sz val="8"/>
      <color indexed="8"/>
      <name val="Tahoma"/>
      <family val="2"/>
      <charset val="204"/>
    </font>
    <font>
      <b/>
      <sz val="10"/>
      <name val="Arial Cyr"/>
      <charset val="204"/>
    </font>
    <font>
      <sz val="12"/>
      <name val="Times New Roman"/>
      <family val="1"/>
      <charset val="204"/>
    </font>
    <font>
      <sz val="10"/>
      <color rgb="FFFF0000"/>
      <name val="Arial Cyr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0"/>
      <color rgb="FFFF0000"/>
      <name val="Arial Cyr"/>
      <charset val="204"/>
    </font>
    <font>
      <sz val="10"/>
      <color theme="9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1" fillId="0" borderId="0" xfId="0" applyFont="1"/>
    <xf numFmtId="0" fontId="2" fillId="0" borderId="0" xfId="1" applyAlignment="1" applyProtection="1"/>
    <xf numFmtId="0" fontId="3" fillId="0" borderId="0" xfId="0" applyFont="1"/>
    <xf numFmtId="0" fontId="0" fillId="0" borderId="0" xfId="0" applyFont="1"/>
    <xf numFmtId="0" fontId="4" fillId="0" borderId="0" xfId="0" applyFont="1" applyAlignment="1"/>
    <xf numFmtId="0" fontId="5" fillId="0" borderId="0" xfId="0" applyFont="1"/>
    <xf numFmtId="0" fontId="0" fillId="0" borderId="0" xfId="0" applyFill="1"/>
    <xf numFmtId="0" fontId="6" fillId="0" borderId="0" xfId="0" applyFont="1" applyFill="1"/>
    <xf numFmtId="0" fontId="8" fillId="0" borderId="0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2" borderId="0" xfId="0" applyFont="1" applyFill="1" applyBorder="1" applyAlignment="1"/>
    <xf numFmtId="0" fontId="7" fillId="2" borderId="0" xfId="0" applyFont="1" applyFill="1" applyBorder="1" applyAlignment="1"/>
    <xf numFmtId="0" fontId="5" fillId="0" borderId="0" xfId="0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/>
    <xf numFmtId="0" fontId="0" fillId="0" borderId="0" xfId="0" applyBorder="1" applyAlignment="1"/>
    <xf numFmtId="2" fontId="8" fillId="0" borderId="0" xfId="0" applyNumberFormat="1" applyFont="1" applyBorder="1" applyAlignment="1"/>
    <xf numFmtId="0" fontId="9" fillId="0" borderId="0" xfId="0" applyFont="1" applyBorder="1" applyAlignment="1"/>
    <xf numFmtId="0" fontId="5" fillId="2" borderId="1" xfId="0" applyFont="1" applyFill="1" applyBorder="1" applyAlignment="1"/>
    <xf numFmtId="0" fontId="7" fillId="2" borderId="2" xfId="0" applyFont="1" applyFill="1" applyBorder="1" applyAlignment="1"/>
    <xf numFmtId="0" fontId="5" fillId="2" borderId="4" xfId="0" applyFont="1" applyFill="1" applyBorder="1" applyAlignment="1"/>
    <xf numFmtId="0" fontId="7" fillId="2" borderId="5" xfId="0" applyFont="1" applyFill="1" applyBorder="1" applyAlignment="1"/>
    <xf numFmtId="0" fontId="5" fillId="2" borderId="6" xfId="0" applyFont="1" applyFill="1" applyBorder="1" applyAlignment="1"/>
    <xf numFmtId="0" fontId="7" fillId="2" borderId="3" xfId="0" applyFont="1" applyFill="1" applyBorder="1" applyAlignment="1"/>
    <xf numFmtId="0" fontId="5" fillId="2" borderId="9" xfId="0" applyFont="1" applyFill="1" applyBorder="1" applyAlignment="1"/>
    <xf numFmtId="0" fontId="7" fillId="2" borderId="10" xfId="0" applyFont="1" applyFill="1" applyBorder="1" applyAlignment="1"/>
    <xf numFmtId="0" fontId="5" fillId="0" borderId="5" xfId="0" applyFont="1" applyBorder="1" applyAlignment="1"/>
    <xf numFmtId="0" fontId="5" fillId="2" borderId="11" xfId="0" applyFont="1" applyFill="1" applyBorder="1" applyAlignment="1"/>
    <xf numFmtId="0" fontId="5" fillId="0" borderId="3" xfId="0" applyFont="1" applyBorder="1" applyAlignment="1"/>
    <xf numFmtId="0" fontId="7" fillId="0" borderId="6" xfId="0" applyFont="1" applyBorder="1" applyAlignment="1"/>
    <xf numFmtId="0" fontId="5" fillId="0" borderId="6" xfId="0" applyFont="1" applyBorder="1" applyAlignment="1"/>
    <xf numFmtId="0" fontId="8" fillId="0" borderId="7" xfId="0" applyFont="1" applyBorder="1" applyAlignment="1">
      <alignment horizontal="right"/>
    </xf>
    <xf numFmtId="0" fontId="8" fillId="0" borderId="1" xfId="0" applyFont="1" applyBorder="1" applyAlignment="1">
      <alignment horizontal="left"/>
    </xf>
    <xf numFmtId="0" fontId="5" fillId="0" borderId="1" xfId="0" applyFont="1" applyBorder="1" applyAlignment="1"/>
    <xf numFmtId="0" fontId="7" fillId="0" borderId="8" xfId="0" applyFont="1" applyBorder="1" applyAlignment="1"/>
    <xf numFmtId="0" fontId="6" fillId="0" borderId="0" xfId="0" applyFont="1"/>
    <xf numFmtId="0" fontId="10" fillId="0" borderId="0" xfId="0" applyFont="1"/>
    <xf numFmtId="0" fontId="4" fillId="0" borderId="0" xfId="0" applyFont="1" applyAlignment="1">
      <alignment horizontal="left"/>
    </xf>
    <xf numFmtId="0" fontId="9" fillId="0" borderId="0" xfId="0" applyFont="1"/>
    <xf numFmtId="0" fontId="4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C1FCB-0CC1-C442-A882-5322A422583B}">
  <dimension ref="A1:AJ36"/>
  <sheetViews>
    <sheetView tabSelected="1" zoomScale="125" zoomScaleNormal="104" workbookViewId="0">
      <selection activeCell="T17" sqref="T17"/>
    </sheetView>
  </sheetViews>
  <sheetFormatPr baseColWidth="10" defaultRowHeight="13"/>
  <cols>
    <col min="1" max="1" width="22.33203125" customWidth="1"/>
    <col min="2" max="2" width="10.83203125" customWidth="1"/>
    <col min="3" max="3" width="6.33203125" customWidth="1"/>
    <col min="4" max="4" width="10.83203125" customWidth="1"/>
    <col min="5" max="5" width="6.33203125" customWidth="1"/>
    <col min="6" max="6" width="10.83203125" customWidth="1"/>
    <col min="7" max="7" width="6.33203125" customWidth="1"/>
    <col min="8" max="8" width="10.83203125" customWidth="1"/>
    <col min="9" max="9" width="6.33203125" customWidth="1"/>
    <col min="10" max="10" width="10.83203125" customWidth="1"/>
    <col min="11" max="11" width="6.33203125" customWidth="1"/>
    <col min="12" max="12" width="10.83203125" customWidth="1"/>
    <col min="13" max="13" width="6.33203125" customWidth="1"/>
    <col min="14" max="14" width="10.83203125" customWidth="1"/>
    <col min="15" max="15" width="6.33203125" customWidth="1"/>
    <col min="16" max="16" width="10.83203125" customWidth="1"/>
    <col min="17" max="17" width="6.33203125" customWidth="1"/>
    <col min="18" max="18" width="10.83203125" customWidth="1"/>
    <col min="19" max="19" width="6.33203125" customWidth="1"/>
    <col min="20" max="20" width="10.83203125" customWidth="1"/>
    <col min="21" max="21" width="6.33203125" customWidth="1"/>
    <col min="22" max="22" width="10.83203125" customWidth="1"/>
    <col min="23" max="23" width="6.33203125" customWidth="1"/>
    <col min="24" max="24" width="4.33203125" customWidth="1"/>
    <col min="25" max="25" width="11.6640625" customWidth="1"/>
    <col min="26" max="26" width="7.6640625" customWidth="1"/>
    <col min="27" max="27" width="4.6640625" customWidth="1"/>
    <col min="28" max="28" width="5" customWidth="1"/>
    <col min="29" max="256" width="8.83203125" customWidth="1"/>
  </cols>
  <sheetData>
    <row r="1" spans="1:36">
      <c r="A1" t="s">
        <v>0</v>
      </c>
      <c r="G1" s="2"/>
    </row>
    <row r="2" spans="1:36">
      <c r="G2" s="2"/>
    </row>
    <row r="3" spans="1:36">
      <c r="A3" t="s">
        <v>1</v>
      </c>
      <c r="B3">
        <v>102.5</v>
      </c>
    </row>
    <row r="5" spans="1:36">
      <c r="A5" s="39" t="s">
        <v>42</v>
      </c>
      <c r="B5" s="39"/>
      <c r="C5" s="39"/>
      <c r="D5" s="39"/>
      <c r="E5" s="39"/>
      <c r="F5" s="39"/>
      <c r="G5" s="39"/>
      <c r="H5" s="39"/>
    </row>
    <row r="6" spans="1:36">
      <c r="A6" s="39" t="s">
        <v>43</v>
      </c>
      <c r="B6" s="39"/>
      <c r="C6" s="39"/>
      <c r="D6" s="39"/>
      <c r="E6" s="39"/>
      <c r="F6" s="39"/>
      <c r="G6" s="39"/>
      <c r="H6" s="39"/>
      <c r="J6" s="4"/>
      <c r="K6" s="4"/>
      <c r="L6" s="4"/>
      <c r="M6" s="4"/>
      <c r="N6" s="4"/>
      <c r="O6" s="4"/>
    </row>
    <row r="7" spans="1:36">
      <c r="J7" s="4"/>
      <c r="K7" s="4"/>
      <c r="L7" s="4"/>
      <c r="M7" s="4"/>
      <c r="N7" s="4"/>
      <c r="O7" s="4"/>
    </row>
    <row r="8" spans="1:36" ht="16">
      <c r="A8" s="1" t="s">
        <v>3</v>
      </c>
      <c r="Y8" s="6"/>
    </row>
    <row r="9" spans="1:36" ht="16" customHeight="1">
      <c r="A9" t="s">
        <v>44</v>
      </c>
      <c r="B9">
        <f>ROUNDDOWN(($B$3*20%)/2.5,0)*2.5</f>
        <v>20</v>
      </c>
      <c r="C9" t="s">
        <v>5</v>
      </c>
      <c r="D9">
        <f>ROUNDDOWN(($B$3*32%)/2.5,0)*2.5</f>
        <v>32.5</v>
      </c>
      <c r="E9" t="s">
        <v>6</v>
      </c>
      <c r="F9">
        <f>ROUNDDOWN(($B$3*44%)/2.5,0)*2.5</f>
        <v>45</v>
      </c>
      <c r="G9" t="s">
        <v>8</v>
      </c>
      <c r="H9" s="4">
        <f>ROUNDDOWN(($B$3*56%)/2.5,0)*2.5</f>
        <v>55</v>
      </c>
      <c r="I9" s="4" t="s">
        <v>7</v>
      </c>
      <c r="J9" s="4">
        <f>ROUNDDOWN(($B$3*68%)/2.5,0)*2.5</f>
        <v>67.5</v>
      </c>
      <c r="K9" s="4" t="s">
        <v>9</v>
      </c>
      <c r="L9" s="8">
        <f>ROUNDDOWN(($B$3*76%)/2.5,0)*2.5</f>
        <v>77.5</v>
      </c>
      <c r="M9" s="8" t="s">
        <v>4</v>
      </c>
      <c r="N9" s="8"/>
      <c r="O9" s="8"/>
      <c r="P9" s="8"/>
      <c r="Q9" s="8"/>
      <c r="R9" s="8"/>
      <c r="S9" s="8"/>
      <c r="T9" s="8"/>
      <c r="U9" s="7"/>
      <c r="V9" s="7"/>
      <c r="W9" s="7"/>
      <c r="X9" s="7"/>
      <c r="Y9" s="7"/>
      <c r="Z9" s="7"/>
      <c r="AA9" s="7"/>
      <c r="AB9" s="7"/>
      <c r="AC9" s="7"/>
      <c r="AD9" s="7"/>
      <c r="AE9" s="13"/>
      <c r="AF9" s="13"/>
      <c r="AG9" s="14"/>
      <c r="AH9" s="15"/>
      <c r="AI9" s="15"/>
      <c r="AJ9" s="18"/>
    </row>
    <row r="10" spans="1:36" ht="13" customHeight="1">
      <c r="A10" t="s">
        <v>45</v>
      </c>
      <c r="B10">
        <f>ROUNDDOWN(($B$3*24%)/2.5,0)*2.5</f>
        <v>22.5</v>
      </c>
      <c r="C10" t="s">
        <v>5</v>
      </c>
      <c r="D10">
        <f>ROUNDDOWN(($B$3*36%)/2.5,0)*2.5</f>
        <v>35</v>
      </c>
      <c r="E10" t="s">
        <v>6</v>
      </c>
      <c r="F10">
        <f>ROUNDDOWN(($B$3*48%)/2.5,0)*2.5</f>
        <v>47.5</v>
      </c>
      <c r="G10" t="s">
        <v>8</v>
      </c>
      <c r="H10" s="4">
        <f>ROUNDDOWN(($B$3*60%)/2.5,0)*2.5</f>
        <v>60</v>
      </c>
      <c r="I10" s="4" t="s">
        <v>7</v>
      </c>
      <c r="J10" s="4">
        <f>ROUNDDOWN(($B$3*72%)/2.5,0)*2.5</f>
        <v>72.5</v>
      </c>
      <c r="K10" s="4" t="s">
        <v>9</v>
      </c>
      <c r="L10" s="4">
        <f>ROUNDDOWN(($B$3*84%)/2.5,0)*2.5</f>
        <v>85</v>
      </c>
      <c r="M10" s="4" t="s">
        <v>10</v>
      </c>
      <c r="N10" s="8">
        <f>ROUNDDOWN(($B$3*88%)/2.5,0)*2.5</f>
        <v>90</v>
      </c>
      <c r="O10" s="8" t="s">
        <v>11</v>
      </c>
      <c r="P10" s="8"/>
      <c r="Q10" s="8"/>
      <c r="R10" s="8"/>
      <c r="S10" s="8"/>
      <c r="T10" s="8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3"/>
      <c r="AF10" s="23"/>
      <c r="AG10" s="24"/>
      <c r="AH10" s="15"/>
      <c r="AI10" s="15"/>
      <c r="AJ10" s="18"/>
    </row>
    <row r="11" spans="1:36" ht="13" customHeight="1">
      <c r="A11" t="s">
        <v>46</v>
      </c>
      <c r="B11">
        <f>ROUNDDOWN(($B$3*20%)/2.5,0)*2.5</f>
        <v>20</v>
      </c>
      <c r="C11" t="s">
        <v>5</v>
      </c>
      <c r="D11">
        <f>ROUNDDOWN(($B$3*32%)/2.5,0)*2.5</f>
        <v>32.5</v>
      </c>
      <c r="E11" t="s">
        <v>6</v>
      </c>
      <c r="F11">
        <f>ROUNDDOWN(($B$3*44%)/2.5,0)*2.5</f>
        <v>45</v>
      </c>
      <c r="G11" t="s">
        <v>8</v>
      </c>
      <c r="H11" s="4">
        <f>ROUNDDOWN(($B$3*56%)/2.5,0)*2.5</f>
        <v>55</v>
      </c>
      <c r="I11" s="4" t="s">
        <v>7</v>
      </c>
      <c r="J11" s="4">
        <f>ROUNDDOWN(($B$3*68%)/2.5,0)*2.5</f>
        <v>67.5</v>
      </c>
      <c r="K11" s="4" t="s">
        <v>9</v>
      </c>
      <c r="L11" s="8">
        <f>ROUNDDOWN(($B$3*76%)/2.5,0)*2.5+2.5</f>
        <v>80</v>
      </c>
      <c r="M11" s="8" t="s">
        <v>9</v>
      </c>
      <c r="N11" s="8">
        <f>ROUNDDOWN(($B$3*76%)/2.5,0)*2.5</f>
        <v>77.5</v>
      </c>
      <c r="O11" s="8" t="s">
        <v>12</v>
      </c>
      <c r="P11" s="8"/>
      <c r="Q11" s="8"/>
      <c r="R11" s="8"/>
      <c r="S11" s="8"/>
      <c r="T11" s="8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3"/>
      <c r="AF11" s="25"/>
      <c r="AG11" s="26"/>
      <c r="AH11" s="15"/>
      <c r="AI11" s="15"/>
      <c r="AJ11" s="18"/>
    </row>
    <row r="12" spans="1:36" ht="13" customHeight="1">
      <c r="A12" t="s">
        <v>47</v>
      </c>
      <c r="B12">
        <f>ROUNDDOWN(($B$3*24%)/2.5,0)*2.5</f>
        <v>22.5</v>
      </c>
      <c r="C12" t="s">
        <v>5</v>
      </c>
      <c r="D12">
        <f>ROUNDDOWN(($B$3*36%)/2.5,0)*2.5</f>
        <v>35</v>
      </c>
      <c r="E12" t="s">
        <v>6</v>
      </c>
      <c r="F12">
        <f>ROUNDDOWN(($B$3*48%)/2.5,0)*2.5</f>
        <v>47.5</v>
      </c>
      <c r="G12" t="s">
        <v>8</v>
      </c>
      <c r="H12" s="4">
        <f>ROUNDDOWN(($B$3*60%)/2.5,0)*2.5</f>
        <v>60</v>
      </c>
      <c r="I12" s="4" t="s">
        <v>7</v>
      </c>
      <c r="J12" s="4">
        <f>ROUNDDOWN(($B$3*72%)/2.5,0)*2.5</f>
        <v>72.5</v>
      </c>
      <c r="K12" s="4" t="s">
        <v>9</v>
      </c>
      <c r="L12" s="4">
        <f>ROUNDDOWN(($B$3*84%)/2.5,0)*2.5</f>
        <v>85</v>
      </c>
      <c r="M12" s="4" t="s">
        <v>10</v>
      </c>
      <c r="N12" s="8">
        <f>ROUNDDOWN(($B$3*88%)/2.5,0)*2.5+2.5</f>
        <v>92.5</v>
      </c>
      <c r="O12" s="8" t="s">
        <v>13</v>
      </c>
      <c r="P12" s="8">
        <f>ROUNDDOWN(($B$3*88%)/2.5,0)*2.5</f>
        <v>90</v>
      </c>
      <c r="Q12" s="8" t="s">
        <v>14</v>
      </c>
      <c r="R12" s="8"/>
      <c r="S12" s="8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3"/>
      <c r="AF12" s="25"/>
      <c r="AG12" s="26"/>
      <c r="AH12" s="15"/>
      <c r="AI12" s="15"/>
      <c r="AJ12" s="18"/>
    </row>
    <row r="13" spans="1:36" ht="13" customHeight="1">
      <c r="A13" t="s">
        <v>48</v>
      </c>
      <c r="B13">
        <f>ROUNDDOWN(($B$3*20%)/2.5,0)*2.5</f>
        <v>20</v>
      </c>
      <c r="C13" t="s">
        <v>5</v>
      </c>
      <c r="D13">
        <f>ROUNDDOWN(($B$3*32%)/2.5,0)*2.5</f>
        <v>32.5</v>
      </c>
      <c r="E13" t="s">
        <v>6</v>
      </c>
      <c r="F13">
        <f>ROUNDDOWN(($B$3*44%)/2.5,0)*2.5</f>
        <v>45</v>
      </c>
      <c r="G13" t="s">
        <v>8</v>
      </c>
      <c r="H13" s="4">
        <f>ROUNDDOWN(($B$3*56%)/2.5,0)*2.5</f>
        <v>55</v>
      </c>
      <c r="I13" s="4" t="s">
        <v>7</v>
      </c>
      <c r="J13" s="4">
        <f>ROUNDDOWN(($B$3*68%)/2.5,0)*2.5</f>
        <v>67.5</v>
      </c>
      <c r="K13" s="4" t="s">
        <v>9</v>
      </c>
      <c r="L13" s="8">
        <f>ROUNDDOWN(($B$3*76%)/2.5,0)*2.5+5</f>
        <v>82.5</v>
      </c>
      <c r="M13" s="8" t="s">
        <v>9</v>
      </c>
      <c r="N13" s="8">
        <f>ROUNDDOWN(($B$3*76%)/2.5,0)*2.5+2.5</f>
        <v>80</v>
      </c>
      <c r="O13" s="8" t="s">
        <v>9</v>
      </c>
      <c r="P13" s="8">
        <f>ROUNDDOWN(($B$3*76%)/2.5,0)*2.5</f>
        <v>77.5</v>
      </c>
      <c r="Q13" s="8" t="s">
        <v>15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3"/>
      <c r="AF13" s="25"/>
      <c r="AG13" s="26"/>
      <c r="AH13" s="15"/>
      <c r="AI13" s="15"/>
      <c r="AJ13" s="18"/>
    </row>
    <row r="14" spans="1:36" ht="13" customHeight="1">
      <c r="A14" t="s">
        <v>49</v>
      </c>
      <c r="B14">
        <f>ROUNDDOWN(($B$3*24%)/2.5,0)*2.5</f>
        <v>22.5</v>
      </c>
      <c r="C14" t="s">
        <v>5</v>
      </c>
      <c r="D14">
        <f>ROUNDDOWN(($B$3*36%)/2.5,0)*2.5</f>
        <v>35</v>
      </c>
      <c r="E14" t="s">
        <v>6</v>
      </c>
      <c r="F14">
        <f>ROUNDDOWN(($B$3*48%)/2.5,0)*2.5</f>
        <v>47.5</v>
      </c>
      <c r="G14" t="s">
        <v>8</v>
      </c>
      <c r="H14" s="4">
        <f>ROUNDDOWN(($B$3*60%)/2.5,0)*2.5</f>
        <v>60</v>
      </c>
      <c r="I14" s="4" t="s">
        <v>7</v>
      </c>
      <c r="J14" s="4">
        <f>ROUNDDOWN(($B$3*72%)/2.5,0)*2.5</f>
        <v>72.5</v>
      </c>
      <c r="K14" s="4" t="s">
        <v>9</v>
      </c>
      <c r="L14" s="4">
        <f>ROUNDDOWN(($B$3*84%)/2.5,0)*2.5</f>
        <v>85</v>
      </c>
      <c r="M14" s="4" t="s">
        <v>10</v>
      </c>
      <c r="N14" s="8">
        <f>ROUNDDOWN(($B$3*88%)/2.5,0)*2.5+5</f>
        <v>95</v>
      </c>
      <c r="O14" s="8" t="s">
        <v>13</v>
      </c>
      <c r="P14" s="8">
        <f>ROUNDDOWN(($B$3*88%)/2.5,0)*2.5+2.5</f>
        <v>92.5</v>
      </c>
      <c r="Q14" s="8" t="s">
        <v>13</v>
      </c>
      <c r="R14" s="8">
        <f>ROUNDDOWN(($B$3*88%)/2.5,0)*2.5</f>
        <v>90</v>
      </c>
      <c r="S14" s="8" t="s">
        <v>16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13"/>
      <c r="AF14" s="25"/>
      <c r="AG14" s="26"/>
      <c r="AH14" s="15"/>
      <c r="AI14" s="15"/>
      <c r="AJ14" s="18"/>
    </row>
    <row r="15" spans="1:36" ht="13" customHeight="1">
      <c r="A15" t="s">
        <v>50</v>
      </c>
      <c r="B15">
        <f>ROUNDDOWN(($B$3*20%)/2.5,0)*2.5</f>
        <v>20</v>
      </c>
      <c r="C15" t="s">
        <v>5</v>
      </c>
      <c r="D15">
        <f>ROUNDDOWN(($B$3*32%)/2.5,0)*2.5</f>
        <v>32.5</v>
      </c>
      <c r="E15" t="s">
        <v>6</v>
      </c>
      <c r="F15">
        <f>ROUNDDOWN(($B$3*44%)/2.5,0)*2.5</f>
        <v>45</v>
      </c>
      <c r="G15" t="s">
        <v>8</v>
      </c>
      <c r="H15" s="4">
        <f>ROUNDDOWN(($B$3*56%)/2.5,0)*2.5</f>
        <v>55</v>
      </c>
      <c r="I15" s="4" t="s">
        <v>7</v>
      </c>
      <c r="J15" s="4">
        <f>ROUNDDOWN(($B$3*68%)/2.5,0)*2.5</f>
        <v>67.5</v>
      </c>
      <c r="K15" s="4" t="s">
        <v>9</v>
      </c>
      <c r="L15" s="8">
        <f>ROUNDDOWN(($B$3*76%)/2.5,0)*2.5+5</f>
        <v>82.5</v>
      </c>
      <c r="M15" s="8" t="s">
        <v>9</v>
      </c>
      <c r="N15" s="8">
        <f>ROUNDDOWN(($B$3*76%)/2.5,0)*2.5+7.5</f>
        <v>85</v>
      </c>
      <c r="O15" s="8" t="s">
        <v>9</v>
      </c>
      <c r="P15" s="8">
        <f>ROUNDDOWN(($B$3*76%)/2.5,0)*2.5+5</f>
        <v>82.5</v>
      </c>
      <c r="Q15" s="8" t="s">
        <v>9</v>
      </c>
      <c r="R15" s="8">
        <f>ROUNDDOWN(($B$3*76%)/2.5,0)*2.5+2.5</f>
        <v>80</v>
      </c>
      <c r="S15" s="8" t="s">
        <v>9</v>
      </c>
      <c r="T15" s="8">
        <f>ROUNDDOWN(($B$3*76%)/2.5,0)*2.5</f>
        <v>77.5</v>
      </c>
      <c r="U15" s="8" t="s">
        <v>9</v>
      </c>
      <c r="V15" s="8"/>
      <c r="W15" s="8"/>
      <c r="X15" s="8"/>
      <c r="Y15" s="8"/>
      <c r="Z15" s="8"/>
      <c r="AA15" s="8"/>
      <c r="AB15" s="8"/>
      <c r="AC15" s="8"/>
      <c r="AD15" s="8"/>
      <c r="AE15" s="13"/>
      <c r="AF15" s="25"/>
      <c r="AG15" s="26"/>
      <c r="AH15" s="15"/>
      <c r="AI15" s="15"/>
      <c r="AJ15" s="18"/>
    </row>
    <row r="16" spans="1:36" ht="13" customHeight="1">
      <c r="A16" t="s">
        <v>51</v>
      </c>
      <c r="B16">
        <f>ROUNDDOWN(($B$3*24%)/2.5,0)*2.5</f>
        <v>22.5</v>
      </c>
      <c r="C16" t="s">
        <v>5</v>
      </c>
      <c r="D16">
        <f>ROUNDDOWN(($B$3*36%)/2.5,0)*2.5</f>
        <v>35</v>
      </c>
      <c r="E16" t="s">
        <v>6</v>
      </c>
      <c r="F16">
        <f>ROUNDDOWN(($B$3*48%)/2.5,0)*2.5</f>
        <v>47.5</v>
      </c>
      <c r="G16" t="s">
        <v>8</v>
      </c>
      <c r="H16" s="4">
        <f>ROUNDDOWN(($B$3*60%)/2.5,0)*2.5</f>
        <v>60</v>
      </c>
      <c r="I16" s="4" t="s">
        <v>7</v>
      </c>
      <c r="J16" s="4">
        <f>ROUNDDOWN(($B$3*72%)/2.5,0)*2.5</f>
        <v>72.5</v>
      </c>
      <c r="K16" s="4" t="s">
        <v>9</v>
      </c>
      <c r="L16" s="4">
        <f>ROUNDDOWN(($B$3*84%)/2.5,0)*2.5</f>
        <v>85</v>
      </c>
      <c r="M16" s="4" t="s">
        <v>10</v>
      </c>
      <c r="N16" s="8">
        <f>ROUNDDOWN(($B$3*88%)/2.5,0)*2.5+5</f>
        <v>95</v>
      </c>
      <c r="O16" s="8" t="s">
        <v>13</v>
      </c>
      <c r="P16" s="8">
        <f>ROUNDDOWN(($B$3*88%)/2.5,0)*2.5+7.5</f>
        <v>97.5</v>
      </c>
      <c r="Q16" s="8" t="s">
        <v>13</v>
      </c>
      <c r="R16" s="8">
        <f>ROUNDDOWN(($B$3*88%)/2.5,0)*2.5+5</f>
        <v>95</v>
      </c>
      <c r="S16" s="8" t="s">
        <v>13</v>
      </c>
      <c r="T16" s="8">
        <f>ROUNDDOWN(($B$3*88%)/2.5,0)*2.5+2.5</f>
        <v>92.5</v>
      </c>
      <c r="U16" s="8" t="s">
        <v>13</v>
      </c>
      <c r="V16" s="8">
        <f>ROUNDDOWN(($B$3*88%)/2.5,0)*2.5</f>
        <v>90</v>
      </c>
      <c r="W16" s="8" t="s">
        <v>13</v>
      </c>
      <c r="X16" s="7"/>
      <c r="Y16" s="7"/>
      <c r="Z16" s="7"/>
      <c r="AA16" s="7"/>
      <c r="AB16" s="7"/>
      <c r="AC16" s="7"/>
      <c r="AD16" s="7"/>
      <c r="AE16" s="23"/>
      <c r="AF16" s="27"/>
      <c r="AG16" s="28"/>
      <c r="AH16" s="29"/>
      <c r="AI16" s="15"/>
      <c r="AJ16" s="18"/>
    </row>
    <row r="17" spans="1:36" ht="13" customHeight="1">
      <c r="A17" t="s">
        <v>52</v>
      </c>
      <c r="B17">
        <f>ROUNDDOWN(($B$3*20%)/2.5,0)*2.5</f>
        <v>20</v>
      </c>
      <c r="C17" t="s">
        <v>5</v>
      </c>
      <c r="D17">
        <f>ROUNDDOWN(($B$3*32%)/2.5,0)*2.5</f>
        <v>32.5</v>
      </c>
      <c r="E17" t="s">
        <v>6</v>
      </c>
      <c r="F17">
        <f>ROUNDDOWN(($B$3*44%)/2.5,0)*2.5</f>
        <v>45</v>
      </c>
      <c r="G17" t="s">
        <v>8</v>
      </c>
      <c r="H17" s="4">
        <f>ROUNDDOWN(($B$3*56%)/2.5,0)*2.5</f>
        <v>55</v>
      </c>
      <c r="I17" s="4" t="s">
        <v>7</v>
      </c>
      <c r="J17" s="4">
        <f>ROUNDDOWN(($B$3*68%)/2.5,0)*2.5</f>
        <v>67.5</v>
      </c>
      <c r="K17" s="4" t="s">
        <v>9</v>
      </c>
      <c r="L17" s="8">
        <f>ROUNDDOWN(($B$3*76%)/2.5,0)*2.5+5</f>
        <v>82.5</v>
      </c>
      <c r="M17" s="8" t="s">
        <v>9</v>
      </c>
      <c r="N17" s="8">
        <f>ROUNDDOWN(($B$3*76%)/2.5,0)*2.5+10</f>
        <v>87.5</v>
      </c>
      <c r="O17" s="8" t="s">
        <v>9</v>
      </c>
      <c r="P17" s="8">
        <f>ROUNDDOWN(($B$3*76%)/2.5,0)*2.5+7.5</f>
        <v>85</v>
      </c>
      <c r="Q17" s="8" t="s">
        <v>9</v>
      </c>
      <c r="R17" s="8">
        <f>ROUNDDOWN(($B$3*76%)/2.5,0)*2.5+5</f>
        <v>82.5</v>
      </c>
      <c r="S17" s="8" t="s">
        <v>9</v>
      </c>
      <c r="T17" s="8">
        <f>ROUNDDOWN(($B$3*76%)/2.5,0)*2.5+2.5</f>
        <v>80</v>
      </c>
      <c r="U17" s="8" t="s">
        <v>9</v>
      </c>
      <c r="V17" s="7"/>
      <c r="W17" s="7"/>
      <c r="X17" s="7"/>
      <c r="Y17" s="7"/>
      <c r="Z17" s="7"/>
      <c r="AA17" s="7"/>
      <c r="AB17" s="7"/>
      <c r="AC17" s="7"/>
      <c r="AD17" s="7"/>
      <c r="AE17" s="30"/>
      <c r="AF17" s="13"/>
      <c r="AG17" s="14"/>
      <c r="AH17" s="31"/>
      <c r="AI17" s="15"/>
      <c r="AJ17" s="18"/>
    </row>
    <row r="18" spans="1:36" ht="13" customHeight="1">
      <c r="A18" t="s">
        <v>53</v>
      </c>
      <c r="B18">
        <f>ROUNDDOWN(($B$3*24%)/2.5,0)*2.5</f>
        <v>22.5</v>
      </c>
      <c r="C18" t="s">
        <v>5</v>
      </c>
      <c r="D18">
        <f>ROUNDDOWN(($B$3*36%)/2.5,0)*2.5</f>
        <v>35</v>
      </c>
      <c r="E18" t="s">
        <v>6</v>
      </c>
      <c r="F18">
        <f>ROUNDDOWN(($B$3*48%)/2.5,0)*2.5</f>
        <v>47.5</v>
      </c>
      <c r="G18" t="s">
        <v>8</v>
      </c>
      <c r="H18" s="4">
        <f>ROUNDDOWN(($B$3*60%)/2.5,0)*2.5</f>
        <v>60</v>
      </c>
      <c r="I18" s="4" t="s">
        <v>7</v>
      </c>
      <c r="J18" s="4">
        <f>ROUNDDOWN(($B$3*72%)/2.5,0)*2.5</f>
        <v>72.5</v>
      </c>
      <c r="K18" s="4" t="s">
        <v>9</v>
      </c>
      <c r="L18" s="4">
        <f>ROUNDDOWN(($B$3*84%)/2.5,0)*2.5</f>
        <v>85</v>
      </c>
      <c r="M18" s="4" t="s">
        <v>10</v>
      </c>
      <c r="N18" s="8">
        <f>ROUNDDOWN(($B$3*88%)/2.5,0)*2.5+5</f>
        <v>95</v>
      </c>
      <c r="O18" s="8" t="s">
        <v>13</v>
      </c>
      <c r="P18" s="8">
        <f>ROUNDDOWN(($B$3*88%)/2.5,0)*2.5+10</f>
        <v>100</v>
      </c>
      <c r="Q18" s="8" t="s">
        <v>13</v>
      </c>
      <c r="R18" s="8">
        <f>ROUNDDOWN(($B$3*88%)/2.5,0)*2.5+7.5</f>
        <v>97.5</v>
      </c>
      <c r="S18" s="8" t="s">
        <v>13</v>
      </c>
      <c r="T18" s="8">
        <f>ROUNDDOWN(($B$3*88%)/2.5,0)*2.5+5</f>
        <v>95</v>
      </c>
      <c r="U18" s="8" t="s">
        <v>13</v>
      </c>
      <c r="V18" s="8">
        <f>ROUNDDOWN(($B$3*88%)/2.5,0)*2.5+2.5</f>
        <v>92.5</v>
      </c>
      <c r="W18" s="8" t="s">
        <v>13</v>
      </c>
      <c r="X18" s="7"/>
      <c r="Y18" s="7"/>
      <c r="Z18" s="7"/>
      <c r="AA18" s="7"/>
      <c r="AB18" s="7"/>
      <c r="AC18" s="7"/>
      <c r="AD18" s="7"/>
      <c r="AE18" s="30"/>
      <c r="AF18" s="13"/>
      <c r="AG18" s="14"/>
      <c r="AH18" s="31"/>
      <c r="AI18" s="15"/>
      <c r="AJ18" s="18"/>
    </row>
    <row r="19" spans="1:36" ht="13" customHeight="1">
      <c r="A19" t="s">
        <v>54</v>
      </c>
      <c r="B19">
        <f>ROUNDDOWN(($B$3*20%)/2.5,0)*2.5</f>
        <v>20</v>
      </c>
      <c r="C19" t="s">
        <v>5</v>
      </c>
      <c r="D19">
        <f>ROUNDDOWN(($B$3*32%)/2.5,0)*2.5</f>
        <v>32.5</v>
      </c>
      <c r="E19" t="s">
        <v>6</v>
      </c>
      <c r="F19">
        <f>ROUNDDOWN(($B$3*44%)/2.5,0)*2.5</f>
        <v>45</v>
      </c>
      <c r="G19" t="s">
        <v>8</v>
      </c>
      <c r="H19" s="4">
        <f>ROUNDDOWN(($B$3*56%)/2.5,0)*2.5</f>
        <v>55</v>
      </c>
      <c r="I19" s="4" t="s">
        <v>7</v>
      </c>
      <c r="J19" s="4">
        <f>ROUNDDOWN(($B$3*68%)/2.5,0)*2.5</f>
        <v>67.5</v>
      </c>
      <c r="K19" s="4" t="s">
        <v>9</v>
      </c>
      <c r="L19" s="8">
        <f>ROUNDDOWN(($B$3*76%)/2.5,0)*2.5+5</f>
        <v>82.5</v>
      </c>
      <c r="M19" s="8" t="s">
        <v>9</v>
      </c>
      <c r="N19" s="8">
        <f>ROUNDDOWN(($B$3*76%)/2.5,0)*2.5+10</f>
        <v>87.5</v>
      </c>
      <c r="O19" s="8" t="s">
        <v>17</v>
      </c>
      <c r="P19" s="8">
        <f>ROUNDDOWN(($B$3*76%)/2.5,0)*2.5+7.5</f>
        <v>85</v>
      </c>
      <c r="Q19" s="8" t="s">
        <v>9</v>
      </c>
      <c r="R19" s="8">
        <f>ROUNDDOWN(($B$3*76%)/2.5,0)*2.5+5</f>
        <v>82.5</v>
      </c>
      <c r="S19" s="8" t="s">
        <v>9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30"/>
      <c r="AF19" s="13"/>
      <c r="AG19" s="14"/>
      <c r="AH19" s="31"/>
      <c r="AI19" s="15"/>
      <c r="AJ19" s="18"/>
    </row>
    <row r="20" spans="1:36" ht="13" customHeight="1">
      <c r="A20" t="s">
        <v>55</v>
      </c>
      <c r="B20">
        <f>ROUNDDOWN(($B$3*24%)/2.5,0)*2.5</f>
        <v>22.5</v>
      </c>
      <c r="C20" t="s">
        <v>5</v>
      </c>
      <c r="D20">
        <f>ROUNDDOWN(($B$3*36%)/2.5,0)*2.5</f>
        <v>35</v>
      </c>
      <c r="E20" t="s">
        <v>6</v>
      </c>
      <c r="F20">
        <f>ROUNDDOWN(($B$3*48%)/2.5,0)*2.5</f>
        <v>47.5</v>
      </c>
      <c r="G20" t="s">
        <v>8</v>
      </c>
      <c r="H20" s="4">
        <f>ROUNDDOWN(($B$3*60%)/2.5,0)*2.5</f>
        <v>60</v>
      </c>
      <c r="I20" s="4" t="s">
        <v>7</v>
      </c>
      <c r="J20" s="4">
        <f>ROUNDDOWN(($B$3*72%)/2.5,0)*2.5</f>
        <v>72.5</v>
      </c>
      <c r="K20" s="4" t="s">
        <v>9</v>
      </c>
      <c r="L20" s="4">
        <f>ROUNDDOWN(($B$3*84%)/2.5,0)*2.5</f>
        <v>85</v>
      </c>
      <c r="M20" s="4" t="s">
        <v>10</v>
      </c>
      <c r="N20" s="8">
        <f>ROUNDDOWN(($B$3*88%)/2.5,0)*2.5+5</f>
        <v>95</v>
      </c>
      <c r="O20" s="8" t="s">
        <v>13</v>
      </c>
      <c r="P20" s="8">
        <f>ROUNDDOWN(($B$3*88%)/2.5,0)*2.5+10</f>
        <v>100</v>
      </c>
      <c r="Q20" s="8" t="s">
        <v>18</v>
      </c>
      <c r="R20" s="8">
        <f>ROUNDDOWN(($B$3*88%)/2.5,0)*2.5+7.5</f>
        <v>97.5</v>
      </c>
      <c r="S20" s="8" t="s">
        <v>13</v>
      </c>
      <c r="T20" s="8">
        <f>ROUNDDOWN(($B$3*88%)/2.5,0)*2.5+5</f>
        <v>95</v>
      </c>
      <c r="U20" s="8" t="s">
        <v>13</v>
      </c>
      <c r="V20" s="7"/>
      <c r="W20" s="7"/>
      <c r="X20" s="7"/>
      <c r="Y20" s="7"/>
      <c r="Z20" s="7"/>
      <c r="AA20" s="7"/>
      <c r="AB20" s="7"/>
      <c r="AC20" s="7"/>
      <c r="AD20" s="7"/>
      <c r="AE20" s="30"/>
      <c r="AF20" s="13"/>
      <c r="AG20" s="14"/>
      <c r="AH20" s="31"/>
      <c r="AI20" s="15"/>
      <c r="AJ20" s="18"/>
    </row>
    <row r="21" spans="1:36" ht="13" customHeight="1">
      <c r="A21" t="s">
        <v>56</v>
      </c>
      <c r="B21">
        <f>ROUNDDOWN(($B$3*20%)/2.5,0)*2.5</f>
        <v>20</v>
      </c>
      <c r="C21" t="s">
        <v>5</v>
      </c>
      <c r="D21">
        <f>ROUNDDOWN(($B$3*32%)/2.5,0)*2.5</f>
        <v>32.5</v>
      </c>
      <c r="E21" t="s">
        <v>6</v>
      </c>
      <c r="F21">
        <f>ROUNDDOWN(($B$3*44%)/2.5,0)*2.5</f>
        <v>45</v>
      </c>
      <c r="G21" t="s">
        <v>8</v>
      </c>
      <c r="H21" s="4">
        <f>ROUNDDOWN(($B$3*56%)/2.5,0)*2.5</f>
        <v>55</v>
      </c>
      <c r="I21" s="4" t="s">
        <v>7</v>
      </c>
      <c r="J21" s="4">
        <f>ROUNDDOWN(($B$3*68%)/2.5,0)*2.5</f>
        <v>67.5</v>
      </c>
      <c r="K21" s="4" t="s">
        <v>9</v>
      </c>
      <c r="L21" s="8">
        <f>ROUNDDOWN(($B$3*76%)/2.5,0)*2.5+5</f>
        <v>82.5</v>
      </c>
      <c r="M21" s="8" t="s">
        <v>9</v>
      </c>
      <c r="N21" s="8">
        <f>ROUNDDOWN(($B$3*76%)/2.5,0)*2.5+10</f>
        <v>87.5</v>
      </c>
      <c r="O21" s="8" t="s">
        <v>15</v>
      </c>
      <c r="P21" s="8">
        <f>ROUNDDOWN(($B$3*76%)/2.5,0)*2.5+7.5</f>
        <v>85</v>
      </c>
      <c r="Q21" s="8" t="s">
        <v>9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30"/>
      <c r="AF21" s="13"/>
      <c r="AG21" s="14"/>
      <c r="AH21" s="31"/>
      <c r="AI21" s="15"/>
      <c r="AJ21" s="18"/>
    </row>
    <row r="22" spans="1:36" ht="13" customHeight="1">
      <c r="A22" t="s">
        <v>57</v>
      </c>
      <c r="B22">
        <f>ROUNDDOWN(($B$3*24%)/2.5,0)*2.5</f>
        <v>22.5</v>
      </c>
      <c r="C22" t="s">
        <v>5</v>
      </c>
      <c r="D22">
        <f>ROUNDDOWN(($B$3*36%)/2.5,0)*2.5</f>
        <v>35</v>
      </c>
      <c r="E22" t="s">
        <v>6</v>
      </c>
      <c r="F22">
        <f>ROUNDDOWN(($B$3*48%)/2.5,0)*2.5</f>
        <v>47.5</v>
      </c>
      <c r="G22" t="s">
        <v>8</v>
      </c>
      <c r="H22" s="4">
        <f>ROUNDDOWN(($B$3*60%)/2.5,0)*2.5</f>
        <v>60</v>
      </c>
      <c r="I22" s="4" t="s">
        <v>7</v>
      </c>
      <c r="J22" s="4">
        <f>ROUNDDOWN(($B$3*72%)/2.5,0)*2.5</f>
        <v>72.5</v>
      </c>
      <c r="K22" s="4" t="s">
        <v>9</v>
      </c>
      <c r="L22" s="4">
        <f>ROUNDDOWN(($B$3*84%)/2.5,0)*2.5</f>
        <v>85</v>
      </c>
      <c r="M22" s="4" t="s">
        <v>10</v>
      </c>
      <c r="N22" s="8">
        <f>ROUNDDOWN(($B$3*88%)/2.5,0)*2.5+5</f>
        <v>95</v>
      </c>
      <c r="O22" s="8" t="s">
        <v>13</v>
      </c>
      <c r="P22" s="8">
        <f>ROUNDDOWN(($B$3*88%)/2.5,0)*2.5+10</f>
        <v>100</v>
      </c>
      <c r="Q22" s="8" t="s">
        <v>16</v>
      </c>
      <c r="R22" s="8">
        <f>ROUNDDOWN(($B$3*88%)/2.5,0)*2.5+7.5</f>
        <v>97.5</v>
      </c>
      <c r="S22" s="8" t="s">
        <v>13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30"/>
      <c r="AF22" s="13"/>
      <c r="AG22" s="14"/>
      <c r="AH22" s="31"/>
      <c r="AI22" s="15"/>
      <c r="AJ22" s="18"/>
    </row>
    <row r="23" spans="1:36" ht="13" customHeight="1">
      <c r="A23" t="s">
        <v>58</v>
      </c>
      <c r="B23">
        <f>ROUNDDOWN(($B$3*20%)/2.5,0)*2.5</f>
        <v>20</v>
      </c>
      <c r="C23" t="s">
        <v>5</v>
      </c>
      <c r="D23">
        <f>ROUNDDOWN(($B$3*32%)/2.5,0)*2.5</f>
        <v>32.5</v>
      </c>
      <c r="E23" t="s">
        <v>6</v>
      </c>
      <c r="F23">
        <f>ROUNDDOWN(($B$3*44%)/2.5,0)*2.5</f>
        <v>45</v>
      </c>
      <c r="G23" t="s">
        <v>8</v>
      </c>
      <c r="H23" s="4">
        <f>ROUNDDOWN(($B$3*56%)/2.5,0)*2.5</f>
        <v>55</v>
      </c>
      <c r="I23" s="4" t="s">
        <v>7</v>
      </c>
      <c r="J23" s="4">
        <f>ROUNDDOWN(($B$3*68%)/2.5,0)*2.5</f>
        <v>67.5</v>
      </c>
      <c r="K23" s="4" t="s">
        <v>9</v>
      </c>
      <c r="L23" s="8">
        <f>ROUNDDOWN(($B$3*76%)/2.5,0)*2.5+5</f>
        <v>82.5</v>
      </c>
      <c r="M23" s="8" t="s">
        <v>9</v>
      </c>
      <c r="N23" s="8">
        <f>ROUNDDOWN(($B$3*76%)/2.5,0)*2.5+10</f>
        <v>87.5</v>
      </c>
      <c r="O23" s="8" t="s">
        <v>12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30"/>
      <c r="AF23" s="13"/>
      <c r="AG23" s="14"/>
      <c r="AH23" s="31"/>
      <c r="AI23" s="15"/>
      <c r="AJ23" s="18"/>
    </row>
    <row r="24" spans="1:36" ht="13" customHeight="1">
      <c r="A24" t="s">
        <v>59</v>
      </c>
      <c r="B24">
        <f>ROUNDDOWN(($B$3*24%)/2.5,0)*2.5</f>
        <v>22.5</v>
      </c>
      <c r="C24" t="s">
        <v>5</v>
      </c>
      <c r="D24">
        <f>ROUNDDOWN(($B$3*36%)/2.5,0)*2.5</f>
        <v>35</v>
      </c>
      <c r="E24" t="s">
        <v>6</v>
      </c>
      <c r="F24">
        <f>ROUNDDOWN(($B$3*48%)/2.5,0)*2.5</f>
        <v>47.5</v>
      </c>
      <c r="G24" t="s">
        <v>8</v>
      </c>
      <c r="H24" s="4">
        <f>ROUNDDOWN(($B$3*60%)/2.5,0)*2.5</f>
        <v>60</v>
      </c>
      <c r="I24" s="4" t="s">
        <v>7</v>
      </c>
      <c r="J24" s="4">
        <f>ROUNDDOWN(($B$3*72%)/2.5,0)*2.5</f>
        <v>72.5</v>
      </c>
      <c r="K24" s="4" t="s">
        <v>9</v>
      </c>
      <c r="L24" s="4">
        <f>ROUNDDOWN(($B$3*84%)/2.5,0)*2.5</f>
        <v>85</v>
      </c>
      <c r="M24" s="4" t="s">
        <v>10</v>
      </c>
      <c r="N24" s="8">
        <f>ROUNDDOWN(($B$3*88%)/2.5,0)*2.5+5</f>
        <v>95</v>
      </c>
      <c r="O24" s="8" t="s">
        <v>13</v>
      </c>
      <c r="P24" s="8">
        <f>ROUNDDOWN(($B$3*88%)/2.5,0)*2.5+10</f>
        <v>100</v>
      </c>
      <c r="Q24" s="8" t="s">
        <v>14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25"/>
      <c r="AF24" s="21"/>
      <c r="AG24" s="22"/>
      <c r="AH24" s="31"/>
      <c r="AI24" s="15"/>
      <c r="AJ24" s="18"/>
    </row>
    <row r="25" spans="1:36" ht="13" customHeight="1">
      <c r="A25" t="s">
        <v>60</v>
      </c>
      <c r="B25">
        <f>ROUNDDOWN(($B$3*20%)/2.5,0)*2.5</f>
        <v>20</v>
      </c>
      <c r="C25" t="s">
        <v>5</v>
      </c>
      <c r="D25">
        <f>ROUNDDOWN(($B$3*32%)/2.5,0)*2.5</f>
        <v>32.5</v>
      </c>
      <c r="E25" t="s">
        <v>6</v>
      </c>
      <c r="F25">
        <f>ROUNDDOWN(($B$3*44%)/2.5,0)*2.5</f>
        <v>45</v>
      </c>
      <c r="G25" t="s">
        <v>8</v>
      </c>
      <c r="H25" s="4">
        <f>ROUNDDOWN(($B$3*56%)/2.5,0)*2.5</f>
        <v>55</v>
      </c>
      <c r="I25" s="4" t="s">
        <v>7</v>
      </c>
      <c r="J25" s="4">
        <f>ROUNDDOWN(($B$3*68%)/2.5,0)*2.5</f>
        <v>67.5</v>
      </c>
      <c r="K25" s="4" t="s">
        <v>9</v>
      </c>
      <c r="L25" s="8">
        <f>ROUNDDOWN(($B$3*72%)/2.5,0)*2.5</f>
        <v>72.5</v>
      </c>
      <c r="M25" s="8" t="s">
        <v>15</v>
      </c>
      <c r="N25" s="7"/>
      <c r="O25" s="7"/>
      <c r="P25" s="7"/>
      <c r="Q25" s="7"/>
      <c r="R25" s="7"/>
      <c r="Y25" s="32"/>
      <c r="Z25" s="16"/>
      <c r="AA25" s="16"/>
      <c r="AB25" s="31"/>
      <c r="AC25" s="9"/>
      <c r="AD25" s="19"/>
    </row>
    <row r="26" spans="1:36" ht="13" customHeight="1">
      <c r="A26" s="40" t="s">
        <v>61</v>
      </c>
      <c r="B26">
        <f>ROUNDDOWN(($B$3*24%)/2.5,0)*2.5</f>
        <v>22.5</v>
      </c>
      <c r="C26" t="s">
        <v>5</v>
      </c>
      <c r="D26">
        <f>ROUNDDOWN(($B$3*36%)/2.5,0)*2.5</f>
        <v>35</v>
      </c>
      <c r="E26" t="s">
        <v>6</v>
      </c>
      <c r="F26">
        <f>ROUNDDOWN(($B$3*48%)/2.5,0)*2.5</f>
        <v>47.5</v>
      </c>
      <c r="G26" t="s">
        <v>8</v>
      </c>
      <c r="H26" s="4">
        <f>ROUNDDOWN(($B$3*60%)/2.5,0)*2.5</f>
        <v>60</v>
      </c>
      <c r="I26" s="4" t="s">
        <v>7</v>
      </c>
      <c r="J26" s="4">
        <f>ROUNDDOWN(($B$3*72%)/2.5,0)*2.5</f>
        <v>72.5</v>
      </c>
      <c r="K26" s="4" t="s">
        <v>9</v>
      </c>
      <c r="L26" s="38">
        <f>ROUNDDOWN(($B$3*80%)/2.5,0)*2.5</f>
        <v>80</v>
      </c>
      <c r="M26" s="38" t="s">
        <v>10</v>
      </c>
      <c r="N26" s="38">
        <f>ROUNDDOWN(($B$3*88%)/2.5,0)*2.5</f>
        <v>90</v>
      </c>
      <c r="O26" s="38" t="s">
        <v>19</v>
      </c>
      <c r="P26" s="38">
        <f>ROUNDDOWN(($B$3*96%)/2.5,0)*2.5</f>
        <v>97.5</v>
      </c>
      <c r="Q26" s="38" t="s">
        <v>19</v>
      </c>
      <c r="R26" s="38">
        <f>ROUNDDOWN(($B$3*100%)/2.5,0)*2.5</f>
        <v>102.5</v>
      </c>
      <c r="S26" s="38" t="s">
        <v>19</v>
      </c>
      <c r="T26" s="41" t="s">
        <v>62</v>
      </c>
      <c r="U26" s="42"/>
      <c r="V26" s="42"/>
      <c r="Y26" s="33"/>
      <c r="Z26" s="15"/>
      <c r="AA26" s="16"/>
      <c r="AB26" s="31"/>
      <c r="AC26" s="17"/>
      <c r="AD26" s="20"/>
    </row>
    <row r="27" spans="1:36" ht="14" customHeight="1">
      <c r="L27" s="38"/>
      <c r="M27" s="38"/>
      <c r="N27" s="38"/>
      <c r="O27" s="38"/>
      <c r="P27" s="38"/>
      <c r="Q27" s="38"/>
      <c r="R27" s="38"/>
      <c r="S27" s="38"/>
      <c r="T27" s="11"/>
      <c r="U27" s="11"/>
      <c r="V27" s="10"/>
      <c r="W27" s="10"/>
      <c r="X27" s="10"/>
      <c r="Y27" s="34"/>
      <c r="Z27" s="35"/>
      <c r="AA27" s="36"/>
      <c r="AB27" s="37"/>
      <c r="AC27" s="9"/>
      <c r="AD27" s="17"/>
    </row>
    <row r="28" spans="1:36" ht="16">
      <c r="Y28" s="6"/>
      <c r="Z28" s="6"/>
      <c r="AA28" s="6"/>
      <c r="AB28" s="6"/>
      <c r="AC28" s="6"/>
    </row>
    <row r="29" spans="1:36" ht="16">
      <c r="B29" s="12"/>
      <c r="C29" s="12"/>
      <c r="D29" s="12"/>
      <c r="E29" s="12"/>
      <c r="F29" s="12"/>
      <c r="G29" s="12"/>
      <c r="Y29" s="6"/>
      <c r="Z29" s="6"/>
      <c r="AA29" s="6"/>
      <c r="AB29" s="6"/>
      <c r="AC29" s="6"/>
    </row>
    <row r="30" spans="1:36" ht="16">
      <c r="B30" s="12"/>
      <c r="C30" s="12"/>
      <c r="D30" s="12"/>
      <c r="E30" s="12"/>
      <c r="F30" s="12"/>
      <c r="G30" s="12"/>
      <c r="H30" s="12"/>
      <c r="Y30" s="6"/>
      <c r="Z30" s="6"/>
      <c r="AA30" s="6"/>
      <c r="AB30" s="6"/>
      <c r="AC30" s="6"/>
    </row>
    <row r="31" spans="1:36" ht="16">
      <c r="B31" s="5"/>
      <c r="C31" s="5"/>
      <c r="D31" s="5"/>
      <c r="E31" s="5"/>
      <c r="F31" s="5"/>
      <c r="G31" s="5"/>
      <c r="Y31" s="6"/>
      <c r="Z31" s="6"/>
      <c r="AA31" s="6"/>
      <c r="AB31" s="6"/>
      <c r="AC31" s="6"/>
    </row>
    <row r="32" spans="1:36" ht="16">
      <c r="Y32" s="6"/>
      <c r="Z32" s="6"/>
      <c r="AA32" s="6"/>
      <c r="AB32" s="6"/>
      <c r="AC32" s="6"/>
    </row>
    <row r="33" spans="25:29" ht="16">
      <c r="Y33" s="6"/>
      <c r="Z33" s="6"/>
      <c r="AA33" s="6"/>
      <c r="AB33" s="6"/>
      <c r="AC33" s="6"/>
    </row>
    <row r="34" spans="25:29" ht="16">
      <c r="Y34" s="6"/>
    </row>
    <row r="35" spans="25:29" ht="16">
      <c r="Y35" s="6"/>
    </row>
    <row r="36" spans="25:29" ht="16">
      <c r="Y36" s="6"/>
    </row>
  </sheetData>
  <mergeCells count="3">
    <mergeCell ref="T27:U27"/>
    <mergeCell ref="B29:G29"/>
    <mergeCell ref="B30:H30"/>
  </mergeCells>
  <phoneticPr fontId="0" type="noConversion"/>
  <pageMargins left="0.75" right="0.75" top="1" bottom="1" header="0.5" footer="0.5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6F95-CBDA-3E4A-BF40-8FDC2A9EF4FB}">
  <dimension ref="A1:A32"/>
  <sheetViews>
    <sheetView workbookViewId="0"/>
  </sheetViews>
  <sheetFormatPr baseColWidth="10" defaultRowHeight="13"/>
  <cols>
    <col min="1" max="256" width="8.83203125" customWidth="1"/>
  </cols>
  <sheetData>
    <row r="1" spans="1:1">
      <c r="A1" s="1" t="s">
        <v>2</v>
      </c>
    </row>
    <row r="2" spans="1:1">
      <c r="A2" s="1" t="s">
        <v>20</v>
      </c>
    </row>
    <row r="3" spans="1:1">
      <c r="A3" s="1" t="s">
        <v>21</v>
      </c>
    </row>
    <row r="4" spans="1:1">
      <c r="A4" s="1" t="s">
        <v>3</v>
      </c>
    </row>
    <row r="5" spans="1:1">
      <c r="A5" s="1" t="s">
        <v>22</v>
      </c>
    </row>
    <row r="6" spans="1:1">
      <c r="A6" s="1" t="s">
        <v>23</v>
      </c>
    </row>
    <row r="7" spans="1:1">
      <c r="A7" s="1" t="s">
        <v>24</v>
      </c>
    </row>
    <row r="8" spans="1:1">
      <c r="A8" s="1" t="s">
        <v>25</v>
      </c>
    </row>
    <row r="9" spans="1:1">
      <c r="A9" s="1" t="s">
        <v>26</v>
      </c>
    </row>
    <row r="10" spans="1:1">
      <c r="A10" s="1" t="s">
        <v>27</v>
      </c>
    </row>
    <row r="11" spans="1:1">
      <c r="A11" s="1" t="s">
        <v>28</v>
      </c>
    </row>
    <row r="12" spans="1:1">
      <c r="A12" s="1" t="s">
        <v>29</v>
      </c>
    </row>
    <row r="13" spans="1:1">
      <c r="A13" s="1" t="s">
        <v>30</v>
      </c>
    </row>
    <row r="14" spans="1:1">
      <c r="A14" s="1" t="s">
        <v>31</v>
      </c>
    </row>
    <row r="15" spans="1:1">
      <c r="A15" s="1" t="s">
        <v>32</v>
      </c>
    </row>
    <row r="16" spans="1:1">
      <c r="A16" s="1" t="s">
        <v>33</v>
      </c>
    </row>
    <row r="17" spans="1:1">
      <c r="A17" s="1" t="s">
        <v>34</v>
      </c>
    </row>
    <row r="18" spans="1:1">
      <c r="A18" s="1" t="s">
        <v>35</v>
      </c>
    </row>
    <row r="19" spans="1:1">
      <c r="A19" s="1" t="s">
        <v>36</v>
      </c>
    </row>
    <row r="20" spans="1:1">
      <c r="A20" s="1" t="s">
        <v>37</v>
      </c>
    </row>
    <row r="21" spans="1:1">
      <c r="A21" s="1" t="s">
        <v>38</v>
      </c>
    </row>
    <row r="22" spans="1:1">
      <c r="A22" s="1" t="s">
        <v>39</v>
      </c>
    </row>
    <row r="23" spans="1:1">
      <c r="A23" s="1" t="s">
        <v>40</v>
      </c>
    </row>
    <row r="24" spans="1:1">
      <c r="A24" s="1" t="s">
        <v>41</v>
      </c>
    </row>
    <row r="30" spans="1:1">
      <c r="A30" s="3"/>
    </row>
    <row r="31" spans="1:1">
      <c r="A31" s="3"/>
    </row>
    <row r="32" spans="1:1">
      <c r="A32" s="3"/>
    </row>
  </sheetData>
  <phoneticPr fontId="0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Расчет</vt:lpstr>
      <vt:lpstr>Проценты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Microsoft Office User</cp:lastModifiedBy>
  <cp:lastPrinted>2020-12-14T04:55:31Z</cp:lastPrinted>
  <dcterms:created xsi:type="dcterms:W3CDTF">2013-11-13T23:49:20Z</dcterms:created>
  <dcterms:modified xsi:type="dcterms:W3CDTF">2026-01-01T22:08:20Z</dcterms:modified>
</cp:coreProperties>
</file>