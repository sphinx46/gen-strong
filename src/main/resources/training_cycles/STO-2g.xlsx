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6440"/>
  </bookViews>
  <sheets>
    <sheet name="Расчет" sheetId="1" r:id="rId1"/>
    <sheet name="Лист1" sheetId="2" r:id="rId2"/>
  </sheets>
  <definedNames>
    <definedName name="_xlnm._FilterDatabase" localSheetId="0" hidden="1">Расчет!$A$9:$A$21</definedName>
  </definedNames>
  <calcPr calcId="145621"/>
</workbook>
</file>

<file path=xl/calcChain.xml><?xml version="1.0" encoding="utf-8"?>
<calcChain xmlns="http://schemas.openxmlformats.org/spreadsheetml/2006/main">
  <c r="B4" i="1" l="1"/>
  <c r="AC11" i="1" s="1"/>
  <c r="K18" i="1" l="1"/>
  <c r="W18" i="1"/>
  <c r="K19" i="1"/>
  <c r="W19" i="1"/>
  <c r="AO19" i="1"/>
  <c r="B18" i="1"/>
  <c r="N18" i="1"/>
  <c r="B19" i="1"/>
  <c r="N19" i="1"/>
  <c r="Z19" i="1"/>
  <c r="N21" i="1"/>
  <c r="E18" i="1"/>
  <c r="Q18" i="1"/>
  <c r="E19" i="1"/>
  <c r="Q19" i="1"/>
  <c r="AI19" i="1"/>
  <c r="T21" i="1"/>
  <c r="H18" i="1"/>
  <c r="T18" i="1"/>
  <c r="H19" i="1"/>
  <c r="T19" i="1"/>
  <c r="AL19" i="1"/>
  <c r="W21" i="1"/>
  <c r="AO17" i="1"/>
  <c r="AR17" i="1"/>
  <c r="AU17" i="1"/>
  <c r="AL17" i="1"/>
  <c r="AX17" i="1"/>
  <c r="AI13" i="1"/>
  <c r="E14" i="1"/>
  <c r="Q14" i="1"/>
  <c r="E15" i="1"/>
  <c r="Q15" i="1"/>
  <c r="AC14" i="1"/>
  <c r="E16" i="1"/>
  <c r="Q16" i="1"/>
  <c r="H14" i="1"/>
  <c r="H15" i="1"/>
  <c r="AF14" i="1"/>
  <c r="AF13" i="1"/>
  <c r="B14" i="1"/>
  <c r="N14" i="1"/>
  <c r="B15" i="1"/>
  <c r="N15" i="1"/>
  <c r="Z15" i="1"/>
  <c r="B16" i="1"/>
  <c r="N16" i="1"/>
  <c r="AC13" i="1"/>
  <c r="T14" i="1"/>
  <c r="T15" i="1"/>
  <c r="H16" i="1"/>
  <c r="T16" i="1"/>
  <c r="W13" i="1"/>
  <c r="Z13" i="1"/>
  <c r="K14" i="1"/>
  <c r="W14" i="1"/>
  <c r="K15" i="1"/>
  <c r="W15" i="1"/>
  <c r="AI14" i="1"/>
  <c r="K16" i="1"/>
  <c r="Q17" i="1"/>
  <c r="N10" i="1"/>
  <c r="H11" i="1"/>
  <c r="AI11" i="1"/>
  <c r="E12" i="1"/>
  <c r="Q12" i="1"/>
  <c r="B10" i="1"/>
  <c r="K11" i="1"/>
  <c r="H12" i="1"/>
  <c r="K10" i="1"/>
  <c r="W10" i="1"/>
  <c r="W11" i="1"/>
  <c r="B12" i="1"/>
  <c r="N12" i="1"/>
  <c r="AL11" i="1"/>
  <c r="T12" i="1"/>
  <c r="E10" i="1"/>
  <c r="T10" i="1"/>
  <c r="T11" i="1"/>
  <c r="AO11" i="1"/>
  <c r="K12" i="1"/>
  <c r="Q13" i="1"/>
  <c r="B11" i="1"/>
  <c r="N11" i="1"/>
  <c r="Z11" i="1"/>
  <c r="H10" i="1"/>
  <c r="Q10" i="1"/>
  <c r="E11" i="1"/>
  <c r="Q11" i="1"/>
  <c r="W20" i="1"/>
  <c r="T20" i="1"/>
  <c r="Q20" i="1"/>
  <c r="AC19" i="1"/>
  <c r="W17" i="1"/>
  <c r="H17" i="1"/>
  <c r="T17" i="1"/>
  <c r="E17" i="1"/>
  <c r="N17" i="1"/>
  <c r="B17" i="1"/>
  <c r="AF17" i="1"/>
  <c r="K17" i="1"/>
  <c r="AC15" i="1"/>
  <c r="K13" i="1"/>
  <c r="B13" i="1"/>
  <c r="H13" i="1"/>
  <c r="E13" i="1"/>
  <c r="AF15" i="1"/>
  <c r="N13" i="1"/>
  <c r="H20" i="1"/>
  <c r="K21" i="1"/>
  <c r="Z17" i="1"/>
  <c r="B20" i="1"/>
  <c r="N20" i="1"/>
  <c r="E21" i="1"/>
  <c r="Q21" i="1"/>
  <c r="AC17" i="1"/>
  <c r="E20" i="1"/>
  <c r="H21" i="1"/>
  <c r="K20" i="1"/>
  <c r="B21" i="1"/>
</calcChain>
</file>

<file path=xl/sharedStrings.xml><?xml version="1.0" encoding="utf-8"?>
<sst xmlns="http://schemas.openxmlformats.org/spreadsheetml/2006/main" count="147" uniqueCount="32">
  <si>
    <t>ПМ</t>
  </si>
  <si>
    <t>/8</t>
  </si>
  <si>
    <t>/7</t>
  </si>
  <si>
    <t>/5</t>
  </si>
  <si>
    <t>/6</t>
  </si>
  <si>
    <t>/4</t>
  </si>
  <si>
    <t>/3</t>
  </si>
  <si>
    <t>/2</t>
  </si>
  <si>
    <t>/1</t>
  </si>
  <si>
    <t>1 тренировка:</t>
  </si>
  <si>
    <t>2 тренировка:</t>
  </si>
  <si>
    <t>3 тренировка:</t>
  </si>
  <si>
    <t>4 тренировка:</t>
  </si>
  <si>
    <t>5 тренировка:</t>
  </si>
  <si>
    <t>6 тренировка:</t>
  </si>
  <si>
    <t>7 тренировка:</t>
  </si>
  <si>
    <t>8 тренировка:</t>
  </si>
  <si>
    <t>9 тренировка:</t>
  </si>
  <si>
    <t>10 тренировка:</t>
  </si>
  <si>
    <t>11 тренировка:</t>
  </si>
  <si>
    <t>Выбрать тренировку</t>
  </si>
  <si>
    <t>записано: вес, затем количество повторений</t>
  </si>
  <si>
    <t xml:space="preserve">  Для удобства просмотра: нажимаем треугольник возле "Выбрать тренировку", снимаем галочку "Выделить все" и отмечаем нужную тренировку</t>
  </si>
  <si>
    <t>дожимы:</t>
  </si>
  <si>
    <t>12. ПРОХОДКА</t>
  </si>
  <si>
    <t>и дальще до максимума</t>
  </si>
  <si>
    <t>Система "СТО-2ж" - автор ЗТР Суровецкий А.Е.</t>
  </si>
  <si>
    <t xml:space="preserve">  План рассчитан на 3 жима в неделю, но допустимо и 2 жима</t>
  </si>
  <si>
    <t>брусок 7-8 см</t>
  </si>
  <si>
    <t>брусок 3-4 см</t>
  </si>
  <si>
    <t>+</t>
  </si>
  <si>
    <t>Подход можно отметить выполненным: нужно нажать на пустую ячейку рялдом с ним. Появится раскрывающийся списокс знаком "+". На него нужно нажать. Но должен быть включен режим правки в мобильном приложении, которое вы используете для просмотра файла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</si>
</sst>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 Cyr"/>
    </font>
    <font>
      <u/>
      <sz val="10"/>
      <color indexed="12"/>
      <name val="Arial Cyr"/>
      <charset val="204"/>
    </font>
    <font>
      <sz val="10"/>
      <name val="Arial Cyr"/>
      <charset val="204"/>
    </font>
    <font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0"/>
      <name val="Arial Cyr"/>
      <charset val="204"/>
    </font>
    <font>
      <sz val="1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sz val="10"/>
      <color theme="3"/>
      <name val="Times New Roman"/>
      <family val="1"/>
      <charset val="204"/>
    </font>
    <font>
      <sz val="9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protection locked="0"/>
    </xf>
  </cellStyleXfs>
  <cellXfs count="101">
    <xf numFmtId="0" fontId="0" fillId="0" borderId="0" xfId="0">
      <alignment vertical="center"/>
    </xf>
    <xf numFmtId="0" fontId="1" fillId="0" borderId="0" xfId="1" applyAlignment="1" applyProtection="1"/>
    <xf numFmtId="0" fontId="3" fillId="0" borderId="0" xfId="0" applyFont="1" applyAlignment="1"/>
    <xf numFmtId="0" fontId="3" fillId="2" borderId="0" xfId="0" applyFont="1" applyFill="1" applyBorder="1" applyAlignment="1"/>
    <xf numFmtId="0" fontId="4" fillId="2" borderId="0" xfId="0" applyFont="1" applyFill="1" applyBorder="1" applyAlignment="1"/>
    <xf numFmtId="0" fontId="3" fillId="0" borderId="0" xfId="0" applyFont="1" applyBorder="1" applyAlignment="1"/>
    <xf numFmtId="0" fontId="2" fillId="0" borderId="0" xfId="0" applyFont="1" applyBorder="1" applyAlignment="1"/>
    <xf numFmtId="0" fontId="3" fillId="2" borderId="1" xfId="0" applyFont="1" applyFill="1" applyBorder="1" applyAlignment="1"/>
    <xf numFmtId="0" fontId="4" fillId="2" borderId="2" xfId="0" applyFont="1" applyFill="1" applyBorder="1" applyAlignment="1"/>
    <xf numFmtId="0" fontId="3" fillId="2" borderId="3" xfId="0" applyFont="1" applyFill="1" applyBorder="1" applyAlignment="1"/>
    <xf numFmtId="0" fontId="4" fillId="2" borderId="4" xfId="0" applyFont="1" applyFill="1" applyBorder="1" applyAlignment="1"/>
    <xf numFmtId="0" fontId="3" fillId="2" borderId="5" xfId="0" applyFont="1" applyFill="1" applyBorder="1" applyAlignment="1"/>
    <xf numFmtId="0" fontId="3" fillId="0" borderId="4" xfId="0" applyFont="1" applyBorder="1" applyAlignment="1"/>
    <xf numFmtId="0" fontId="5" fillId="0" borderId="0" xfId="0" applyFont="1" applyAlignment="1"/>
    <xf numFmtId="0" fontId="6" fillId="0" borderId="0" xfId="0" applyFont="1">
      <alignment vertical="center"/>
    </xf>
    <xf numFmtId="0" fontId="6" fillId="0" borderId="0" xfId="0" applyFont="1" applyAlignment="1"/>
    <xf numFmtId="0" fontId="6" fillId="0" borderId="0" xfId="0" applyFont="1" applyFill="1" applyAlignment="1"/>
    <xf numFmtId="0" fontId="9" fillId="0" borderId="0" xfId="0" applyFont="1" applyBorder="1" applyAlignment="1"/>
    <xf numFmtId="0" fontId="7" fillId="0" borderId="0" xfId="0" applyFont="1" applyBorder="1" applyAlignment="1"/>
    <xf numFmtId="0" fontId="6" fillId="0" borderId="4" xfId="0" applyFont="1" applyBorder="1" applyAlignment="1"/>
    <xf numFmtId="0" fontId="9" fillId="0" borderId="0" xfId="0" applyFont="1" applyBorder="1" applyAlignment="1">
      <alignment horizontal="right"/>
    </xf>
    <xf numFmtId="0" fontId="6" fillId="0" borderId="0" xfId="0" applyFont="1" applyBorder="1" applyAlignment="1"/>
    <xf numFmtId="0" fontId="9" fillId="0" borderId="7" xfId="0" applyFont="1" applyBorder="1" applyAlignment="1">
      <alignment horizontal="right"/>
    </xf>
    <xf numFmtId="0" fontId="9" fillId="0" borderId="6" xfId="0" applyFont="1" applyBorder="1" applyAlignment="1">
      <alignment horizontal="left"/>
    </xf>
    <xf numFmtId="0" fontId="6" fillId="0" borderId="6" xfId="0" applyFont="1" applyBorder="1" applyAlignment="1"/>
    <xf numFmtId="0" fontId="7" fillId="0" borderId="8" xfId="0" applyFont="1" applyBorder="1" applyAlignme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6" fillId="3" borderId="10" xfId="0" applyFont="1" applyFill="1" applyBorder="1">
      <alignment vertical="center"/>
    </xf>
    <xf numFmtId="0" fontId="6" fillId="3" borderId="10" xfId="0" applyFont="1" applyFill="1" applyBorder="1" applyAlignment="1">
      <alignment horizontal="center"/>
    </xf>
    <xf numFmtId="0" fontId="6" fillId="3" borderId="10" xfId="0" applyFont="1" applyFill="1" applyBorder="1" applyAlignment="1"/>
    <xf numFmtId="0" fontId="0" fillId="0" borderId="0" xfId="0" applyFill="1">
      <alignment vertical="center"/>
    </xf>
    <xf numFmtId="0" fontId="6" fillId="0" borderId="0" xfId="0" applyFont="1" applyFill="1">
      <alignment vertical="center"/>
    </xf>
    <xf numFmtId="0" fontId="6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3" borderId="11" xfId="0" applyFont="1" applyFill="1" applyBorder="1">
      <alignment vertical="center"/>
    </xf>
    <xf numFmtId="0" fontId="6" fillId="3" borderId="11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6" fillId="0" borderId="16" xfId="0" applyFont="1" applyBorder="1">
      <alignment vertical="center"/>
    </xf>
    <xf numFmtId="0" fontId="6" fillId="0" borderId="15" xfId="0" applyFont="1" applyBorder="1">
      <alignment vertical="center"/>
    </xf>
    <xf numFmtId="0" fontId="6" fillId="0" borderId="15" xfId="0" applyFont="1" applyFill="1" applyBorder="1" applyAlignment="1">
      <alignment horizontal="center"/>
    </xf>
    <xf numFmtId="0" fontId="6" fillId="0" borderId="15" xfId="0" applyFont="1" applyBorder="1" applyAlignment="1"/>
    <xf numFmtId="0" fontId="6" fillId="0" borderId="11" xfId="0" applyFont="1" applyBorder="1">
      <alignment vertical="center"/>
    </xf>
    <xf numFmtId="0" fontId="6" fillId="0" borderId="11" xfId="0" applyFont="1" applyBorder="1" applyAlignment="1"/>
    <xf numFmtId="0" fontId="6" fillId="0" borderId="11" xfId="0" applyFont="1" applyFill="1" applyBorder="1" applyAlignment="1"/>
    <xf numFmtId="0" fontId="6" fillId="4" borderId="10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10" fillId="3" borderId="14" xfId="0" applyFont="1" applyFill="1" applyBorder="1" applyAlignment="1"/>
    <xf numFmtId="0" fontId="6" fillId="0" borderId="14" xfId="0" applyFont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3" borderId="12" xfId="0" applyFont="1" applyFill="1" applyBorder="1">
      <alignment vertical="center"/>
    </xf>
    <xf numFmtId="0" fontId="6" fillId="0" borderId="0" xfId="0" applyFont="1" applyFill="1" applyBorder="1" applyAlignment="1"/>
    <xf numFmtId="0" fontId="6" fillId="4" borderId="10" xfId="0" applyFont="1" applyFill="1" applyBorder="1" applyAlignment="1"/>
    <xf numFmtId="0" fontId="6" fillId="4" borderId="13" xfId="0" applyFont="1" applyFill="1" applyBorder="1" applyAlignment="1"/>
    <xf numFmtId="0" fontId="0" fillId="0" borderId="0" xfId="0" applyBorder="1">
      <alignment vertical="center"/>
    </xf>
    <xf numFmtId="0" fontId="8" fillId="3" borderId="12" xfId="0" applyFont="1" applyFill="1" applyBorder="1" applyAlignment="1">
      <alignment horizontal="center"/>
    </xf>
    <xf numFmtId="0" fontId="0" fillId="0" borderId="0" xfId="0" applyFill="1" applyBorder="1">
      <alignment vertical="center"/>
    </xf>
    <xf numFmtId="0" fontId="6" fillId="0" borderId="20" xfId="0" applyFont="1" applyBorder="1">
      <alignment vertical="center"/>
    </xf>
    <xf numFmtId="0" fontId="6" fillId="0" borderId="0" xfId="0" applyFont="1" applyBorder="1">
      <alignment vertical="center"/>
    </xf>
    <xf numFmtId="0" fontId="6" fillId="4" borderId="11" xfId="0" applyFont="1" applyFill="1" applyBorder="1" applyAlignment="1">
      <alignment horizontal="center"/>
    </xf>
    <xf numFmtId="0" fontId="6" fillId="3" borderId="21" xfId="0" applyFont="1" applyFill="1" applyBorder="1">
      <alignment vertical="center"/>
    </xf>
    <xf numFmtId="0" fontId="6" fillId="3" borderId="11" xfId="0" applyFont="1" applyFill="1" applyBorder="1" applyAlignment="1"/>
    <xf numFmtId="0" fontId="6" fillId="4" borderId="19" xfId="0" applyFont="1" applyFill="1" applyBorder="1" applyAlignment="1">
      <alignment horizontal="center"/>
    </xf>
    <xf numFmtId="0" fontId="6" fillId="0" borderId="21" xfId="0" applyFont="1" applyBorder="1">
      <alignment vertical="center"/>
    </xf>
    <xf numFmtId="0" fontId="11" fillId="0" borderId="0" xfId="0" applyFont="1" applyFill="1" applyBorder="1" applyAlignment="1"/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3" borderId="19" xfId="0" applyFont="1" applyFill="1" applyBorder="1" applyAlignment="1"/>
    <xf numFmtId="0" fontId="6" fillId="3" borderId="23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1" fillId="0" borderId="9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</cellXfs>
  <cellStyles count="2">
    <cellStyle name="Гиперссылка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J31"/>
  <sheetViews>
    <sheetView tabSelected="1" zoomScale="120" zoomScaleNormal="120" workbookViewId="0">
      <selection activeCell="AG32" sqref="AG31:AG32"/>
    </sheetView>
  </sheetViews>
  <sheetFormatPr defaultColWidth="10" defaultRowHeight="12.75" x14ac:dyDescent="0.2"/>
  <cols>
    <col min="1" max="1" width="20" customWidth="1"/>
    <col min="2" max="2" width="6.140625" customWidth="1"/>
    <col min="3" max="3" width="3.140625" customWidth="1"/>
    <col min="4" max="4" width="2.42578125" customWidth="1"/>
    <col min="5" max="5" width="6.140625" style="29" customWidth="1"/>
    <col min="6" max="6" width="3.42578125" customWidth="1"/>
    <col min="7" max="7" width="2.85546875" customWidth="1"/>
    <col min="8" max="8" width="6.28515625" customWidth="1"/>
    <col min="9" max="9" width="3" customWidth="1"/>
    <col min="10" max="10" width="2.42578125" customWidth="1"/>
    <col min="11" max="11" width="6.5703125" customWidth="1"/>
    <col min="12" max="12" width="2.5703125" customWidth="1"/>
    <col min="13" max="13" width="2.85546875" customWidth="1"/>
    <col min="14" max="14" width="6.7109375" customWidth="1"/>
    <col min="15" max="15" width="2.5703125" customWidth="1"/>
    <col min="16" max="16" width="2.7109375" customWidth="1"/>
    <col min="17" max="17" width="6.140625" customWidth="1"/>
    <col min="18" max="18" width="3" customWidth="1"/>
    <col min="19" max="19" width="2.140625" customWidth="1"/>
    <col min="20" max="20" width="7.7109375" customWidth="1"/>
    <col min="21" max="21" width="3" customWidth="1"/>
    <col min="22" max="22" width="2.28515625" style="33" customWidth="1"/>
    <col min="23" max="23" width="6" customWidth="1"/>
    <col min="24" max="24" width="3" customWidth="1"/>
    <col min="25" max="25" width="2.140625" style="33" customWidth="1"/>
    <col min="26" max="26" width="6.5703125" customWidth="1"/>
    <col min="27" max="27" width="2.85546875" customWidth="1"/>
    <col min="28" max="28" width="2.140625" style="33" customWidth="1"/>
    <col min="29" max="29" width="6" customWidth="1"/>
    <col min="30" max="30" width="3.140625" customWidth="1"/>
    <col min="31" max="31" width="2.28515625" style="33" customWidth="1"/>
    <col min="32" max="32" width="6.7109375" style="33" customWidth="1"/>
    <col min="33" max="33" width="4" style="33" customWidth="1"/>
    <col min="34" max="34" width="2.140625" style="33" customWidth="1"/>
    <col min="35" max="35" width="7" style="33" customWidth="1"/>
    <col min="36" max="36" width="5.28515625" style="33" customWidth="1"/>
    <col min="37" max="37" width="1.85546875" style="33" customWidth="1"/>
    <col min="38" max="38" width="5.7109375" style="33" customWidth="1"/>
    <col min="39" max="39" width="3.42578125" style="33" customWidth="1"/>
    <col min="40" max="40" width="2" style="33" customWidth="1"/>
    <col min="41" max="41" width="5.7109375" style="33" customWidth="1"/>
    <col min="42" max="42" width="4" style="33" customWidth="1"/>
    <col min="43" max="43" width="2.28515625" style="33" customWidth="1"/>
    <col min="44" max="44" width="5.7109375" style="33" customWidth="1"/>
    <col min="45" max="45" width="3.42578125" style="33" customWidth="1"/>
    <col min="46" max="46" width="2.28515625" style="33" customWidth="1"/>
    <col min="47" max="47" width="6.140625" style="33" customWidth="1"/>
    <col min="48" max="48" width="2.42578125" style="33" customWidth="1"/>
    <col min="49" max="49" width="2.7109375" style="33" customWidth="1"/>
    <col min="50" max="50" width="5.85546875" customWidth="1"/>
    <col min="51" max="51" width="2.7109375" customWidth="1"/>
    <col min="52" max="52" width="1" customWidth="1"/>
    <col min="53" max="53" width="6" customWidth="1"/>
    <col min="54" max="54" width="3" customWidth="1"/>
    <col min="55" max="55" width="1.140625" customWidth="1"/>
    <col min="56" max="56" width="8.85546875" customWidth="1"/>
    <col min="57" max="57" width="2.5703125" customWidth="1"/>
    <col min="58" max="283" width="8.85546875" customWidth="1"/>
  </cols>
  <sheetData>
    <row r="1" spans="1:54" ht="9" customHeight="1" x14ac:dyDescent="0.2">
      <c r="I1" s="1"/>
      <c r="J1" s="1"/>
    </row>
    <row r="2" spans="1:54" ht="18" hidden="1" customHeight="1" x14ac:dyDescent="0.2">
      <c r="I2" s="1"/>
      <c r="J2" s="1"/>
    </row>
    <row r="3" spans="1:54" ht="14.25" hidden="1" customHeight="1" x14ac:dyDescent="0.2">
      <c r="A3" t="s">
        <v>0</v>
      </c>
      <c r="B3">
        <v>207.5</v>
      </c>
    </row>
    <row r="4" spans="1:54" ht="20.25" hidden="1" customHeight="1" x14ac:dyDescent="0.2">
      <c r="B4">
        <f>ROUNDDOWN(($B$3*96%)/2.5,0)*2.5</f>
        <v>197.5</v>
      </c>
    </row>
    <row r="5" spans="1:54" ht="12.75" customHeight="1" x14ac:dyDescent="0.25">
      <c r="A5" s="90" t="s">
        <v>26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</row>
    <row r="6" spans="1:54" ht="5.25" customHeight="1" x14ac:dyDescent="0.25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</row>
    <row r="7" spans="1:54" x14ac:dyDescent="0.2">
      <c r="A7" s="91" t="s">
        <v>22</v>
      </c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</row>
    <row r="8" spans="1:54" ht="10.5" customHeight="1" thickBot="1" x14ac:dyDescent="0.25">
      <c r="A8" s="92" t="s">
        <v>27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</row>
    <row r="9" spans="1:54" ht="15" customHeight="1" thickBot="1" x14ac:dyDescent="0.25">
      <c r="A9" s="50" t="s">
        <v>20</v>
      </c>
      <c r="B9" s="94" t="s">
        <v>21</v>
      </c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/>
      <c r="AR9"/>
      <c r="AS9"/>
      <c r="AT9"/>
      <c r="AU9"/>
      <c r="AV9"/>
      <c r="AW9"/>
    </row>
    <row r="10" spans="1:54" ht="12.75" customHeight="1" x14ac:dyDescent="0.25">
      <c r="A10" s="51" t="s">
        <v>9</v>
      </c>
      <c r="B10" s="41">
        <f>ROUNDDOWN((B4*20%)/2.5,0)*2.5</f>
        <v>37.5</v>
      </c>
      <c r="C10" s="42" t="s">
        <v>1</v>
      </c>
      <c r="D10" s="74"/>
      <c r="E10" s="43">
        <f>ROUNDDOWN((B4*32%)/2.5,0)*2.5</f>
        <v>62.5</v>
      </c>
      <c r="F10" s="42" t="s">
        <v>2</v>
      </c>
      <c r="G10" s="74"/>
      <c r="H10" s="42">
        <f>ROUNDDOWN((B4*44%)/2.5,0)*2.5</f>
        <v>85</v>
      </c>
      <c r="I10" s="42" t="s">
        <v>4</v>
      </c>
      <c r="J10" s="74"/>
      <c r="K10" s="44">
        <f>ROUNDDOWN((B4*56%)/2.5,0)*2.5</f>
        <v>110</v>
      </c>
      <c r="L10" s="44" t="s">
        <v>3</v>
      </c>
      <c r="M10" s="74"/>
      <c r="N10" s="44">
        <f>ROUNDDOWN((B4*68%)/2.5,0)*2.5</f>
        <v>132.5</v>
      </c>
      <c r="O10" s="44" t="s">
        <v>5</v>
      </c>
      <c r="P10" s="74"/>
      <c r="Q10" s="44">
        <f>ROUNDDOWN((B4*68%)/2.5,0)*2.5</f>
        <v>132.5</v>
      </c>
      <c r="R10" s="44" t="s">
        <v>5</v>
      </c>
      <c r="S10" s="74"/>
      <c r="T10" s="44">
        <f>ROUNDDOWN((B4*68%)/2.5,0)*2.5</f>
        <v>132.5</v>
      </c>
      <c r="U10" s="44" t="s">
        <v>5</v>
      </c>
      <c r="V10" s="74"/>
      <c r="W10" s="44">
        <f>ROUNDDOWN((B4*68%)/2.5,0)*2.5</f>
        <v>132.5</v>
      </c>
      <c r="X10" s="44" t="s">
        <v>5</v>
      </c>
      <c r="Y10" s="82"/>
      <c r="Z10" s="57"/>
      <c r="AA10" s="57"/>
      <c r="AB10" s="37"/>
      <c r="AC10" s="57"/>
      <c r="AD10" s="57"/>
      <c r="AE10" s="37"/>
      <c r="AF10" s="70"/>
      <c r="AG10" s="70"/>
      <c r="AH10" s="70"/>
      <c r="AI10" s="70"/>
      <c r="AJ10" s="70"/>
      <c r="AK10" s="37"/>
      <c r="AL10" s="37"/>
      <c r="AM10" s="37"/>
      <c r="AN10" s="37"/>
      <c r="AO10" s="57"/>
      <c r="AP10" s="57"/>
      <c r="AQ10" s="16"/>
      <c r="AR10" s="16"/>
      <c r="AS10" s="3"/>
      <c r="AT10" s="3"/>
      <c r="AU10" s="4"/>
      <c r="AV10" s="5"/>
      <c r="AW10" s="5"/>
      <c r="AX10" s="6"/>
    </row>
    <row r="11" spans="1:54" ht="12.95" customHeight="1" x14ac:dyDescent="0.25">
      <c r="A11" s="52" t="s">
        <v>10</v>
      </c>
      <c r="B11" s="56">
        <f>ROUNDDOWN((B4*24%)/2.5,0)*2.5</f>
        <v>45</v>
      </c>
      <c r="C11" s="30" t="s">
        <v>1</v>
      </c>
      <c r="D11" s="75"/>
      <c r="E11" s="31">
        <f>ROUNDDOWN((B4*36%)/2.5,0)*2.5</f>
        <v>70</v>
      </c>
      <c r="F11" s="30" t="s">
        <v>2</v>
      </c>
      <c r="G11" s="75"/>
      <c r="H11" s="30">
        <f>ROUNDDOWN((B4*48%)/2.5,0)*2.5</f>
        <v>92.5</v>
      </c>
      <c r="I11" s="30" t="s">
        <v>4</v>
      </c>
      <c r="J11" s="75"/>
      <c r="K11" s="32">
        <f>ROUNDDOWN((B4*60%)/2.5,0)*2.5</f>
        <v>117.5</v>
      </c>
      <c r="L11" s="32" t="s">
        <v>3</v>
      </c>
      <c r="M11" s="75"/>
      <c r="N11" s="32">
        <f>ROUNDDOWN((B4*72%)/2.5,0)*2.5</f>
        <v>140</v>
      </c>
      <c r="O11" s="32" t="s">
        <v>5</v>
      </c>
      <c r="P11" s="75"/>
      <c r="Q11" s="32">
        <f>ROUNDDOWN((B4*80%)/2.5,0)*2.5</f>
        <v>157.5</v>
      </c>
      <c r="R11" s="32" t="s">
        <v>6</v>
      </c>
      <c r="S11" s="75"/>
      <c r="T11" s="32">
        <f>ROUNDDOWN((B4*80%)/2.5,0)*2.5</f>
        <v>157.5</v>
      </c>
      <c r="U11" s="32" t="s">
        <v>6</v>
      </c>
      <c r="V11" s="75"/>
      <c r="W11" s="32">
        <f>ROUNDDOWN((B4*80%)/2.5,0)*2.5</f>
        <v>157.5</v>
      </c>
      <c r="X11" s="32" t="s">
        <v>6</v>
      </c>
      <c r="Y11" s="75"/>
      <c r="Z11" s="32">
        <f>ROUNDDOWN((B4*80%)/2.5,0)*2.5</f>
        <v>157.5</v>
      </c>
      <c r="AA11" s="83" t="s">
        <v>6</v>
      </c>
      <c r="AB11" s="75"/>
      <c r="AC11" s="32">
        <f>ROUNDDOWN((B4*80%)/2.5,0)*2.5</f>
        <v>157.5</v>
      </c>
      <c r="AD11" s="32" t="s">
        <v>5</v>
      </c>
      <c r="AE11" s="75"/>
      <c r="AF11" s="88" t="s">
        <v>23</v>
      </c>
      <c r="AG11" s="88"/>
      <c r="AH11" s="88"/>
      <c r="AI11" s="48">
        <f>ROUNDDOWN((B4*88%)/2.5,0)*2.5</f>
        <v>172.5</v>
      </c>
      <c r="AJ11" s="48" t="s">
        <v>7</v>
      </c>
      <c r="AK11" s="75"/>
      <c r="AL11" s="48">
        <f>ROUNDDOWN((B4*100%)/2.5,0)*2.5</f>
        <v>197.5</v>
      </c>
      <c r="AM11" s="48" t="s">
        <v>7</v>
      </c>
      <c r="AN11" s="75"/>
      <c r="AO11" s="48">
        <f>ROUNDDOWN((B4*100%)/2.5,0)*2.5</f>
        <v>197.5</v>
      </c>
      <c r="AP11" s="49" t="s">
        <v>7</v>
      </c>
      <c r="AQ11" s="57"/>
      <c r="AR11" s="16"/>
      <c r="AS11" s="16"/>
      <c r="AT11" s="3"/>
      <c r="AU11" s="7"/>
      <c r="AV11" s="8"/>
      <c r="AW11" s="5"/>
      <c r="AX11" s="5"/>
      <c r="AY11" s="6"/>
    </row>
    <row r="12" spans="1:54" ht="12.95" customHeight="1" x14ac:dyDescent="0.25">
      <c r="A12" s="53" t="s">
        <v>11</v>
      </c>
      <c r="B12" s="63">
        <f>ROUNDDOWN((B4*20%)/2.5,0)*2.5</f>
        <v>37.5</v>
      </c>
      <c r="C12" s="64" t="s">
        <v>1</v>
      </c>
      <c r="D12" s="76"/>
      <c r="E12" s="37">
        <f>ROUNDDOWN((B4*32%)/2.5,0)*2.5</f>
        <v>62.5</v>
      </c>
      <c r="F12" s="64" t="s">
        <v>2</v>
      </c>
      <c r="G12" s="76"/>
      <c r="H12" s="64">
        <f>ROUNDDOWN((B4*44%)/2.5,0)*2.5</f>
        <v>85</v>
      </c>
      <c r="I12" s="64" t="s">
        <v>4</v>
      </c>
      <c r="J12" s="76"/>
      <c r="K12" s="21">
        <f>ROUNDDOWN((B4*56%)/2.5,0)*2.5</f>
        <v>110</v>
      </c>
      <c r="L12" s="21" t="s">
        <v>3</v>
      </c>
      <c r="M12" s="76"/>
      <c r="N12" s="21">
        <f>ROUNDDOWN((B4*64%)/2.5,0)*2.5</f>
        <v>125</v>
      </c>
      <c r="O12" s="21" t="s">
        <v>3</v>
      </c>
      <c r="P12" s="76"/>
      <c r="Q12" s="21">
        <f>ROUNDDOWN((B4*64%)/2.5,0)*2.5</f>
        <v>125</v>
      </c>
      <c r="R12" s="21" t="s">
        <v>3</v>
      </c>
      <c r="S12" s="76"/>
      <c r="T12" s="21">
        <f>ROUNDDOWN((B4*64%)/2.5,0)*2.5</f>
        <v>125</v>
      </c>
      <c r="U12" s="21" t="s">
        <v>3</v>
      </c>
      <c r="V12" s="78"/>
      <c r="W12" s="57"/>
      <c r="X12" s="57"/>
      <c r="Y12" s="37"/>
      <c r="Z12" s="57"/>
      <c r="AA12" s="57"/>
      <c r="AB12" s="37"/>
      <c r="AC12" s="57"/>
      <c r="AD12" s="57"/>
      <c r="AE12" s="37"/>
      <c r="AF12" s="89"/>
      <c r="AG12" s="89"/>
      <c r="AH12" s="89"/>
      <c r="AI12" s="37"/>
      <c r="AJ12" s="37"/>
      <c r="AK12" s="37"/>
      <c r="AL12" s="37"/>
      <c r="AM12" s="37"/>
      <c r="AN12" s="57"/>
      <c r="AO12" s="57"/>
      <c r="AP12" s="3"/>
      <c r="AQ12" s="3"/>
      <c r="AR12" s="10"/>
      <c r="AS12" s="5"/>
      <c r="AT12" s="5"/>
      <c r="AU12" s="6"/>
      <c r="AV12"/>
      <c r="AW12"/>
    </row>
    <row r="13" spans="1:54" ht="12.95" customHeight="1" x14ac:dyDescent="0.2">
      <c r="A13" s="54" t="s">
        <v>12</v>
      </c>
      <c r="B13" s="56">
        <f>ROUNDDOWN((B4*28%)/2.5,0)*2.5</f>
        <v>55</v>
      </c>
      <c r="C13" s="30" t="s">
        <v>1</v>
      </c>
      <c r="D13" s="75"/>
      <c r="E13" s="31">
        <f>ROUNDDOWN((B4*40%)/2.5,0)*2.5</f>
        <v>77.5</v>
      </c>
      <c r="F13" s="30" t="s">
        <v>2</v>
      </c>
      <c r="G13" s="75"/>
      <c r="H13" s="30">
        <f>ROUNDDOWN((B4*52%)/2.5,0)*2.5</f>
        <v>102.5</v>
      </c>
      <c r="I13" s="30" t="s">
        <v>4</v>
      </c>
      <c r="J13" s="75"/>
      <c r="K13" s="32">
        <f>ROUNDDOWN((B4*64%)/2.5,0)*2.5</f>
        <v>125</v>
      </c>
      <c r="L13" s="32" t="s">
        <v>3</v>
      </c>
      <c r="M13" s="75"/>
      <c r="N13" s="32">
        <f>ROUNDDOWN((B4*76%)/2.5,0)*2.5</f>
        <v>150</v>
      </c>
      <c r="O13" s="32" t="s">
        <v>5</v>
      </c>
      <c r="P13" s="75"/>
      <c r="Q13" s="32">
        <f>ROUNDDOWN((B4*88%)/2.5,0)*2.5</f>
        <v>172.5</v>
      </c>
      <c r="R13" s="32" t="s">
        <v>6</v>
      </c>
      <c r="S13" s="75"/>
      <c r="T13" s="88" t="s">
        <v>28</v>
      </c>
      <c r="U13" s="88"/>
      <c r="V13" s="88"/>
      <c r="W13" s="48">
        <f>ROUNDDOWN((B4*92%)/2.5,0)*2.5</f>
        <v>180</v>
      </c>
      <c r="X13" s="48" t="s">
        <v>6</v>
      </c>
      <c r="Y13" s="75"/>
      <c r="Z13" s="58">
        <f>ROUNDDOWN((B4*108%)/2.5,0)*2.5</f>
        <v>212.5</v>
      </c>
      <c r="AA13" s="58" t="s">
        <v>6</v>
      </c>
      <c r="AB13" s="75"/>
      <c r="AC13" s="58">
        <f>ROUNDDOWN((B4*108%)/2.5,0)*2.5</f>
        <v>212.5</v>
      </c>
      <c r="AD13" s="58" t="s">
        <v>6</v>
      </c>
      <c r="AE13" s="75"/>
      <c r="AF13" s="58">
        <f>ROUNDDOWN((B4*108%)/2.5,0)*2.5</f>
        <v>212.5</v>
      </c>
      <c r="AG13" s="58" t="s">
        <v>6</v>
      </c>
      <c r="AH13" s="75"/>
      <c r="AI13" s="58">
        <f>ROUNDDOWN((B4*108%)/2.5,0)*2.5</f>
        <v>212.5</v>
      </c>
      <c r="AJ13" s="59" t="s">
        <v>6</v>
      </c>
      <c r="AK13"/>
      <c r="AL13"/>
      <c r="AM13"/>
      <c r="AN13"/>
      <c r="AO13"/>
      <c r="AP13"/>
      <c r="AQ13"/>
      <c r="AR13"/>
      <c r="AS13"/>
      <c r="AT13"/>
      <c r="AU13"/>
      <c r="AV13"/>
      <c r="AW13"/>
    </row>
    <row r="14" spans="1:54" ht="12.95" customHeight="1" x14ac:dyDescent="0.25">
      <c r="A14" s="55" t="s">
        <v>13</v>
      </c>
      <c r="B14" s="69">
        <f>ROUNDDOWN((B4*20%)/2.5,0)*2.5</f>
        <v>37.5</v>
      </c>
      <c r="C14" s="45" t="s">
        <v>1</v>
      </c>
      <c r="D14" s="77"/>
      <c r="E14" s="40">
        <f>ROUNDDOWN((B4*32%)/2.5,0)*2.5</f>
        <v>62.5</v>
      </c>
      <c r="F14" s="45" t="s">
        <v>2</v>
      </c>
      <c r="G14" s="77"/>
      <c r="H14" s="45">
        <f>ROUNDDOWN((B4*44%)/2.5,0)*2.5</f>
        <v>85</v>
      </c>
      <c r="I14" s="45" t="s">
        <v>4</v>
      </c>
      <c r="J14" s="77"/>
      <c r="K14" s="46">
        <f>ROUNDDOWN((B4*56%)/2.5,0)*2.5</f>
        <v>110</v>
      </c>
      <c r="L14" s="46" t="s">
        <v>3</v>
      </c>
      <c r="M14" s="77"/>
      <c r="N14" s="46">
        <f>ROUNDDOWN((B4*68%)/2.5,0)*2.5</f>
        <v>132.5</v>
      </c>
      <c r="O14" s="46" t="s">
        <v>5</v>
      </c>
      <c r="P14" s="77"/>
      <c r="Q14" s="47">
        <f>ROUNDDOWN((B4*72%)/2.5,0)*2.5+5</f>
        <v>145</v>
      </c>
      <c r="R14" s="47" t="s">
        <v>5</v>
      </c>
      <c r="S14" s="77"/>
      <c r="T14" s="47">
        <f>ROUNDDOWN((B4*72%)/2.5,0)*2.5+5</f>
        <v>145</v>
      </c>
      <c r="U14" s="47" t="s">
        <v>5</v>
      </c>
      <c r="V14" s="81"/>
      <c r="W14" s="47">
        <f>ROUNDDOWN((B4*72%)/2.5,0)*2.5+5</f>
        <v>145</v>
      </c>
      <c r="X14" s="47" t="s">
        <v>5</v>
      </c>
      <c r="Y14" s="77"/>
      <c r="Z14" s="87" t="s">
        <v>23</v>
      </c>
      <c r="AA14" s="87"/>
      <c r="AB14" s="87"/>
      <c r="AC14" s="65">
        <f>ROUNDDOWN((B4*92%)/2.5,0)*2.5</f>
        <v>180</v>
      </c>
      <c r="AD14" s="65" t="s">
        <v>7</v>
      </c>
      <c r="AE14" s="78"/>
      <c r="AF14" s="65">
        <f>ROUNDDOWN((B4*104%)/2.5,0)*2.5</f>
        <v>205</v>
      </c>
      <c r="AG14" s="65" t="s">
        <v>7</v>
      </c>
      <c r="AH14" s="78"/>
      <c r="AI14" s="65">
        <f>ROUNDDOWN((B4*104%)/2.5,0)*2.5</f>
        <v>205</v>
      </c>
      <c r="AJ14" s="68" t="s">
        <v>7</v>
      </c>
      <c r="AK14" s="57"/>
      <c r="AL14" s="16"/>
      <c r="AM14" s="16"/>
      <c r="AN14" s="16"/>
      <c r="AO14" s="3"/>
      <c r="AP14" s="9"/>
      <c r="AQ14" s="10"/>
      <c r="AR14" s="5"/>
      <c r="AS14" s="5"/>
      <c r="AT14" s="6"/>
      <c r="AU14"/>
      <c r="AV14"/>
      <c r="AW14"/>
    </row>
    <row r="15" spans="1:54" ht="12.95" customHeight="1" x14ac:dyDescent="0.25">
      <c r="A15" s="54" t="s">
        <v>14</v>
      </c>
      <c r="B15" s="66">
        <f>ROUNDDOWN((B4*24%)/2.5,0)*2.5</f>
        <v>45</v>
      </c>
      <c r="C15" s="38" t="s">
        <v>1</v>
      </c>
      <c r="D15" s="78"/>
      <c r="E15" s="39">
        <f>ROUNDDOWN((B4*36%)/2.5,0)*2.5</f>
        <v>70</v>
      </c>
      <c r="F15" s="38" t="s">
        <v>2</v>
      </c>
      <c r="G15" s="78"/>
      <c r="H15" s="38">
        <f>ROUNDDOWN((B4*48%)/2.5,0)*2.5</f>
        <v>92.5</v>
      </c>
      <c r="I15" s="38" t="s">
        <v>4</v>
      </c>
      <c r="J15" s="78"/>
      <c r="K15" s="67">
        <f>ROUNDDOWN((B4*60%)/2.5,0)*2.5</f>
        <v>117.5</v>
      </c>
      <c r="L15" s="67" t="s">
        <v>3</v>
      </c>
      <c r="M15" s="78"/>
      <c r="N15" s="67">
        <f>ROUNDDOWN((B4*72%)/2.5,0)*2.5</f>
        <v>140</v>
      </c>
      <c r="O15" s="67" t="s">
        <v>5</v>
      </c>
      <c r="P15" s="78"/>
      <c r="Q15" s="67">
        <f>ROUNDDOWN((B4*80%)/2.5,0)*2.5</f>
        <v>157.5</v>
      </c>
      <c r="R15" s="67" t="s">
        <v>6</v>
      </c>
      <c r="S15" s="78"/>
      <c r="T15" s="67">
        <f>ROUNDDOWN((B4*84%)/2.5,0)*2.5</f>
        <v>165</v>
      </c>
      <c r="U15" s="67" t="s">
        <v>6</v>
      </c>
      <c r="V15" s="78"/>
      <c r="W15" s="67">
        <f>ROUNDDOWN((B4*84%)/2.5,0)*2.5</f>
        <v>165</v>
      </c>
      <c r="X15" s="67" t="s">
        <v>6</v>
      </c>
      <c r="Y15" s="78"/>
      <c r="Z15" s="67">
        <f>ROUNDDOWN((B4*84%)/2.5,0)*2.5</f>
        <v>165</v>
      </c>
      <c r="AA15" s="67" t="s">
        <v>6</v>
      </c>
      <c r="AB15" s="75"/>
      <c r="AC15" s="67">
        <f>ROUNDDOWN((B4*84%)/2.5,0)*2.5</f>
        <v>165</v>
      </c>
      <c r="AD15" s="67" t="s">
        <v>3</v>
      </c>
      <c r="AE15" s="75"/>
      <c r="AF15" s="67">
        <f>ROUNDDOWN((B4*84%)/2.5,0)*2.5</f>
        <v>165</v>
      </c>
      <c r="AG15" s="73" t="s">
        <v>3</v>
      </c>
      <c r="AH15" s="37"/>
      <c r="AI15" s="89"/>
      <c r="AJ15" s="89"/>
      <c r="AK15" s="89"/>
      <c r="AL15" s="37"/>
      <c r="AM15" s="37"/>
      <c r="AN15" s="37"/>
      <c r="AO15" s="37"/>
      <c r="AP15" s="37"/>
      <c r="AQ15" s="16"/>
      <c r="AR15" s="16"/>
      <c r="AS15" s="3"/>
      <c r="AT15" s="9"/>
      <c r="AU15" s="10"/>
      <c r="AV15" s="5"/>
      <c r="AW15" s="5"/>
      <c r="AX15" s="6"/>
    </row>
    <row r="16" spans="1:54" ht="12.95" customHeight="1" x14ac:dyDescent="0.2">
      <c r="A16" s="55" t="s">
        <v>15</v>
      </c>
      <c r="B16" s="63">
        <f>ROUNDDOWN((B4*20%)/2.5,0)*2.5</f>
        <v>37.5</v>
      </c>
      <c r="C16" s="64" t="s">
        <v>1</v>
      </c>
      <c r="D16" s="76"/>
      <c r="E16" s="71">
        <f>ROUNDDOWN((B4*32%)/2.5,0)*2.5</f>
        <v>62.5</v>
      </c>
      <c r="F16" s="72" t="s">
        <v>2</v>
      </c>
      <c r="G16" s="76"/>
      <c r="H16" s="64">
        <f>ROUNDDOWN((B4*44%)/2.5,0)*2.5</f>
        <v>85</v>
      </c>
      <c r="I16" s="64" t="s">
        <v>4</v>
      </c>
      <c r="J16" s="80"/>
      <c r="K16" s="21">
        <f>ROUNDDOWN((B4*56%)/2.5,0)*2.5</f>
        <v>110</v>
      </c>
      <c r="L16" s="21" t="s">
        <v>3</v>
      </c>
      <c r="M16" s="76"/>
      <c r="N16" s="21">
        <f>ROUNDDOWN((B4*64%)/2.5,0)*2.5</f>
        <v>125</v>
      </c>
      <c r="O16" s="21" t="s">
        <v>3</v>
      </c>
      <c r="P16" s="76"/>
      <c r="Q16" s="21">
        <f>ROUNDDOWN((B4*64%)/2.5,0)*2.5</f>
        <v>125</v>
      </c>
      <c r="R16" s="21" t="s">
        <v>3</v>
      </c>
      <c r="S16" s="76"/>
      <c r="T16" s="21">
        <f>ROUNDDOWN((B4*64%)/2.5,0)*2.5</f>
        <v>125</v>
      </c>
      <c r="U16" s="21" t="s">
        <v>3</v>
      </c>
      <c r="V16" s="80"/>
      <c r="W16" s="57"/>
      <c r="X16" s="57"/>
      <c r="Y16" s="37"/>
      <c r="Z16" s="57"/>
      <c r="AA16" s="57"/>
      <c r="AB16" s="37"/>
      <c r="AC16" s="57"/>
      <c r="AD16" s="57"/>
      <c r="AE16" s="37"/>
      <c r="AF16" s="57"/>
      <c r="AG16" s="57"/>
      <c r="AH16" s="37"/>
      <c r="AI16" s="70"/>
      <c r="AJ16" s="70"/>
      <c r="AK16" s="70"/>
      <c r="AL16" s="37"/>
      <c r="AM16" s="37"/>
      <c r="AN16" s="37"/>
      <c r="AO16" s="37"/>
      <c r="AP16" s="37"/>
      <c r="AQ16" s="62"/>
      <c r="AR16" s="84"/>
      <c r="AS16" s="84"/>
      <c r="AT16" s="84"/>
      <c r="AU16" s="37"/>
      <c r="AV16" s="37"/>
      <c r="AW16" s="37"/>
      <c r="AX16" s="57"/>
      <c r="AY16" s="57"/>
      <c r="AZ16" s="57"/>
      <c r="BA16" s="57"/>
      <c r="BB16" s="57"/>
    </row>
    <row r="17" spans="1:62" ht="12.95" customHeight="1" x14ac:dyDescent="0.2">
      <c r="A17" s="54" t="s">
        <v>16</v>
      </c>
      <c r="B17" s="56">
        <f>ROUNDDOWN((B4*28%)/2.5,0)*2.5</f>
        <v>55</v>
      </c>
      <c r="C17" s="30" t="s">
        <v>1</v>
      </c>
      <c r="D17" s="75"/>
      <c r="E17" s="31">
        <f>ROUNDDOWN((B4*40%)/2.5,0)*2.5</f>
        <v>77.5</v>
      </c>
      <c r="F17" s="30" t="s">
        <v>2</v>
      </c>
      <c r="G17" s="75"/>
      <c r="H17" s="30">
        <f>ROUNDDOWN((B4*52%)/2.5,0)*2.5</f>
        <v>102.5</v>
      </c>
      <c r="I17" s="30" t="s">
        <v>4</v>
      </c>
      <c r="J17" s="75"/>
      <c r="K17" s="32">
        <f>ROUNDDOWN((B4*64%)/2.5,0)*2.5</f>
        <v>125</v>
      </c>
      <c r="L17" s="32" t="s">
        <v>3</v>
      </c>
      <c r="M17" s="75"/>
      <c r="N17" s="32">
        <f>ROUNDDOWN((B4*76%)/2.5,0)*2.5</f>
        <v>150</v>
      </c>
      <c r="O17" s="32" t="s">
        <v>5</v>
      </c>
      <c r="P17" s="75"/>
      <c r="Q17" s="32">
        <f>ROUNDDOWN((B4*88%)/2.5,0)*2.5</f>
        <v>172.5</v>
      </c>
      <c r="R17" s="32" t="s">
        <v>6</v>
      </c>
      <c r="S17" s="75"/>
      <c r="T17" s="32">
        <f>ROUNDDOWN((B4*92%)/2.5,0)*2.5+5</f>
        <v>185</v>
      </c>
      <c r="U17" s="32" t="s">
        <v>7</v>
      </c>
      <c r="V17" s="75"/>
      <c r="W17" s="32">
        <f>ROUNDDOWN((B4*96%)/2.5,0)*2.5+7.5</f>
        <v>195</v>
      </c>
      <c r="X17" s="32" t="s">
        <v>7</v>
      </c>
      <c r="Y17" s="75"/>
      <c r="Z17" s="32">
        <f>ROUNDDOWN((B4*88%)/2.5,0)*2.5+5</f>
        <v>177.5</v>
      </c>
      <c r="AA17" s="32" t="s">
        <v>7</v>
      </c>
      <c r="AB17" s="75"/>
      <c r="AC17" s="32">
        <f>ROUNDDOWN((B4*88%)/2.5,0)*2.5+2.5</f>
        <v>175</v>
      </c>
      <c r="AD17" s="32" t="s">
        <v>5</v>
      </c>
      <c r="AE17" s="75"/>
      <c r="AF17" s="32">
        <f>ROUNDDOWN((B4*88%)/2.5,0)*2.5+2.5</f>
        <v>175</v>
      </c>
      <c r="AG17" s="32" t="s">
        <v>5</v>
      </c>
      <c r="AH17" s="75"/>
      <c r="AI17" s="88" t="s">
        <v>29</v>
      </c>
      <c r="AJ17" s="88"/>
      <c r="AK17" s="88"/>
      <c r="AL17" s="48">
        <f>ROUNDDOWN((B4*96%)/2.5,0)*2.5</f>
        <v>187.5</v>
      </c>
      <c r="AM17" s="48" t="s">
        <v>7</v>
      </c>
      <c r="AN17" s="75"/>
      <c r="AO17" s="58">
        <f>ROUNDDOWN((B4*100%)/2.5,0)*2.5</f>
        <v>197.5</v>
      </c>
      <c r="AP17" s="58" t="s">
        <v>7</v>
      </c>
      <c r="AQ17" s="75"/>
      <c r="AR17" s="58">
        <f>ROUNDDOWN((B4*104%)/2.5,0)*2.5</f>
        <v>205</v>
      </c>
      <c r="AS17" s="59" t="s">
        <v>7</v>
      </c>
      <c r="AT17" s="75"/>
      <c r="AU17" s="58">
        <f>ROUNDDOWN((B4*108%)/2.5,0)*2.5</f>
        <v>212.5</v>
      </c>
      <c r="AV17" s="58" t="s">
        <v>7</v>
      </c>
      <c r="AW17" s="75"/>
      <c r="AX17" s="58">
        <f>ROUNDDOWN((B4*108%)/2.5,0)*2.5</f>
        <v>212.5</v>
      </c>
      <c r="AY17" s="59" t="s">
        <v>7</v>
      </c>
    </row>
    <row r="18" spans="1:62" ht="12.95" customHeight="1" x14ac:dyDescent="0.25">
      <c r="A18" s="55" t="s">
        <v>17</v>
      </c>
      <c r="B18" s="63">
        <f>ROUNDDOWN((B4*20%)/2.5,0)*2.5</f>
        <v>37.5</v>
      </c>
      <c r="C18" s="64" t="s">
        <v>1</v>
      </c>
      <c r="D18" s="76"/>
      <c r="E18" s="37">
        <f>ROUNDDOWN((B4*32%)/2.5,0)*2.5</f>
        <v>62.5</v>
      </c>
      <c r="F18" s="64" t="s">
        <v>2</v>
      </c>
      <c r="G18" s="76"/>
      <c r="H18" s="64">
        <f>ROUNDDOWN((B4*44%)/2.5,0)*2.5</f>
        <v>85</v>
      </c>
      <c r="I18" s="64" t="s">
        <v>4</v>
      </c>
      <c r="J18" s="76"/>
      <c r="K18" s="21">
        <f>ROUNDDOWN((B4*56%)/2.5,0)*2.5</f>
        <v>110</v>
      </c>
      <c r="L18" s="21" t="s">
        <v>3</v>
      </c>
      <c r="M18" s="76"/>
      <c r="N18" s="21">
        <f>ROUNDDOWN((B4*68%)/2.5,0)*2.5</f>
        <v>132.5</v>
      </c>
      <c r="O18" s="21" t="s">
        <v>5</v>
      </c>
      <c r="P18" s="76"/>
      <c r="Q18" s="57">
        <f>ROUNDDOWN((B4*72%)/2.5,0)*2.5+5</f>
        <v>145</v>
      </c>
      <c r="R18" s="57" t="s">
        <v>5</v>
      </c>
      <c r="S18" s="76"/>
      <c r="T18" s="57">
        <f>ROUNDDOWN((B4*76%)/2.5,0)*2.5+10</f>
        <v>160</v>
      </c>
      <c r="U18" s="57" t="s">
        <v>5</v>
      </c>
      <c r="V18" s="76"/>
      <c r="W18" s="57">
        <f>ROUNDDOWN((B4*76%)/2.5,0)*2.5+10</f>
        <v>160</v>
      </c>
      <c r="X18" s="57" t="s">
        <v>5</v>
      </c>
      <c r="Y18" s="80"/>
      <c r="Z18" s="57"/>
      <c r="AA18" s="57"/>
      <c r="AB18" s="37"/>
      <c r="AC18" s="57"/>
      <c r="AD18" s="57"/>
      <c r="AE18" s="37"/>
      <c r="AF18" s="57"/>
      <c r="AG18" s="57"/>
      <c r="AH18" s="37"/>
      <c r="AI18" s="89"/>
      <c r="AJ18" s="89"/>
      <c r="AK18" s="89"/>
      <c r="AL18" s="37"/>
      <c r="AM18" s="37"/>
      <c r="AN18" s="37"/>
      <c r="AO18" s="37"/>
      <c r="AP18" s="37"/>
      <c r="AQ18" s="16"/>
      <c r="AR18" s="16"/>
      <c r="AS18" s="16"/>
      <c r="AT18" s="16"/>
      <c r="AU18" s="16"/>
      <c r="AV18" s="11"/>
      <c r="AW18" s="3"/>
      <c r="AX18" s="4"/>
      <c r="AY18" s="12"/>
      <c r="AZ18" s="5"/>
      <c r="BA18" s="6"/>
    </row>
    <row r="19" spans="1:62" ht="12.95" customHeight="1" x14ac:dyDescent="0.25">
      <c r="A19" s="54" t="s">
        <v>18</v>
      </c>
      <c r="B19" s="56">
        <f>ROUNDDOWN((B4*24%)/2.5,0)*2.5</f>
        <v>45</v>
      </c>
      <c r="C19" s="30" t="s">
        <v>1</v>
      </c>
      <c r="D19" s="75"/>
      <c r="E19" s="31">
        <f>ROUNDDOWN((B4*36%)/2.5,0)*2.5</f>
        <v>70</v>
      </c>
      <c r="F19" s="30" t="s">
        <v>2</v>
      </c>
      <c r="G19" s="75"/>
      <c r="H19" s="30">
        <f>ROUNDDOWN((B4*48%)/2.5,0)*2.5</f>
        <v>92.5</v>
      </c>
      <c r="I19" s="30" t="s">
        <v>4</v>
      </c>
      <c r="J19" s="75"/>
      <c r="K19" s="32">
        <f>ROUNDDOWN((B4*60%)/2.5,0)*2.5</f>
        <v>117.5</v>
      </c>
      <c r="L19" s="32" t="s">
        <v>3</v>
      </c>
      <c r="M19" s="75"/>
      <c r="N19" s="32">
        <f>ROUNDDOWN((B4*72%)/2.5,0)*2.5</f>
        <v>140</v>
      </c>
      <c r="O19" s="32" t="s">
        <v>5</v>
      </c>
      <c r="P19" s="75"/>
      <c r="Q19" s="32">
        <f>ROUNDDOWN((B4*80%)/2.5,0)*2.5</f>
        <v>157.5</v>
      </c>
      <c r="R19" s="32" t="s">
        <v>6</v>
      </c>
      <c r="S19" s="75"/>
      <c r="T19" s="32">
        <f>ROUNDDOWN((B4*84%)/2.5,0)*2.5</f>
        <v>165</v>
      </c>
      <c r="U19" s="32" t="s">
        <v>6</v>
      </c>
      <c r="V19" s="75"/>
      <c r="W19" s="32">
        <f>ROUNDDOWN((B4*88%)/2.5,0)*2.5</f>
        <v>172.5</v>
      </c>
      <c r="X19" s="32" t="s">
        <v>6</v>
      </c>
      <c r="Y19" s="75"/>
      <c r="Z19" s="32">
        <f>ROUNDDOWN((B4*88%)/2.5,0)*2.5</f>
        <v>172.5</v>
      </c>
      <c r="AA19" s="32" t="s">
        <v>6</v>
      </c>
      <c r="AB19" s="75"/>
      <c r="AC19" s="32">
        <f>ROUNDDOWN((B4*92%)/2.5,0)*2.5</f>
        <v>180</v>
      </c>
      <c r="AD19" s="32" t="s">
        <v>6</v>
      </c>
      <c r="AE19" s="75"/>
      <c r="AF19" s="88" t="s">
        <v>23</v>
      </c>
      <c r="AG19" s="88"/>
      <c r="AH19" s="88"/>
      <c r="AI19" s="48">
        <f>ROUNDDOWN((B4*96%)/2.5,0)*2.5</f>
        <v>187.5</v>
      </c>
      <c r="AJ19" s="48" t="s">
        <v>7</v>
      </c>
      <c r="AK19" s="75"/>
      <c r="AL19" s="48">
        <f>ROUNDDOWN((B4*104%)/2.5,0)*2.5</f>
        <v>205</v>
      </c>
      <c r="AM19" s="48" t="s">
        <v>7</v>
      </c>
      <c r="AN19" s="75"/>
      <c r="AO19" s="48">
        <f>ROUNDDOWN((B4*108%)/2.5,0)*2.5</f>
        <v>212.5</v>
      </c>
      <c r="AP19" s="49" t="s">
        <v>7</v>
      </c>
      <c r="AQ19" s="84"/>
      <c r="AR19" s="84"/>
      <c r="AS19" s="37"/>
      <c r="AT19" s="37"/>
      <c r="AU19" s="84"/>
      <c r="AV19" s="84"/>
      <c r="AW19" s="84"/>
      <c r="AX19" s="37"/>
      <c r="AY19" s="37"/>
      <c r="AZ19" s="37"/>
      <c r="BA19" s="57"/>
      <c r="BB19" s="57"/>
      <c r="BC19" s="57"/>
      <c r="BD19" s="57"/>
      <c r="BE19" s="57"/>
      <c r="BF19" s="3"/>
      <c r="BG19" s="4"/>
      <c r="BH19" s="12"/>
      <c r="BI19" s="5"/>
      <c r="BJ19" s="6"/>
    </row>
    <row r="20" spans="1:62" ht="12.95" customHeight="1" x14ac:dyDescent="0.25">
      <c r="A20" s="55" t="s">
        <v>19</v>
      </c>
      <c r="B20" s="69">
        <f>ROUNDDOWN((B4*20%)/2.5,0)*2.5</f>
        <v>37.5</v>
      </c>
      <c r="C20" s="45" t="s">
        <v>1</v>
      </c>
      <c r="D20" s="77"/>
      <c r="E20" s="40">
        <f>ROUNDDOWN((B4*32%)/2.5,0)*2.5</f>
        <v>62.5</v>
      </c>
      <c r="F20" s="45" t="s">
        <v>2</v>
      </c>
      <c r="G20" s="77"/>
      <c r="H20" s="45">
        <f>ROUNDDOWN((B4*44%)/2.5,0)*2.5</f>
        <v>85</v>
      </c>
      <c r="I20" s="45" t="s">
        <v>4</v>
      </c>
      <c r="J20" s="77"/>
      <c r="K20" s="46">
        <f>ROUNDDOWN((B4*56%)/2.5,0)*2.5</f>
        <v>110</v>
      </c>
      <c r="L20" s="46" t="s">
        <v>3</v>
      </c>
      <c r="M20" s="77"/>
      <c r="N20" s="46">
        <f>ROUNDDOWN((B4*68%)/2.5,0)*2.5</f>
        <v>132.5</v>
      </c>
      <c r="O20" s="46" t="s">
        <v>5</v>
      </c>
      <c r="P20" s="77"/>
      <c r="Q20" s="47">
        <f>ROUNDDOWN((B4*73%)/2.5,0)*2.5</f>
        <v>142.5</v>
      </c>
      <c r="R20" s="47" t="s">
        <v>5</v>
      </c>
      <c r="S20" s="77"/>
      <c r="T20" s="47">
        <f>ROUNDDOWN((B4*73%)/2.5,0)*2.5</f>
        <v>142.5</v>
      </c>
      <c r="U20" s="47" t="s">
        <v>5</v>
      </c>
      <c r="V20" s="77"/>
      <c r="W20" s="47">
        <f>ROUNDDOWN((B4*73%)/2.5,0)*2.5</f>
        <v>142.5</v>
      </c>
      <c r="X20" s="47" t="s">
        <v>5</v>
      </c>
      <c r="Y20" s="80"/>
      <c r="Z20" s="57"/>
      <c r="AA20" s="57"/>
      <c r="AB20" s="57"/>
      <c r="AC20" s="57"/>
      <c r="AD20" s="57"/>
      <c r="AE20" s="57"/>
      <c r="AF20" s="3"/>
      <c r="AG20" s="3"/>
      <c r="AH20" s="4"/>
      <c r="AI20" s="5"/>
      <c r="AJ20" s="5"/>
      <c r="AK20" s="6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</row>
    <row r="21" spans="1:62" ht="12.95" customHeight="1" x14ac:dyDescent="0.2">
      <c r="A21" s="61" t="s">
        <v>24</v>
      </c>
      <c r="B21" s="56">
        <f>ROUNDDOWN((B4*28%)/2.5,0)*2.5</f>
        <v>55</v>
      </c>
      <c r="C21" s="30" t="s">
        <v>1</v>
      </c>
      <c r="D21" s="75"/>
      <c r="E21" s="31">
        <f>ROUNDDOWN((B4*44%)/2.5,0)*2.5</f>
        <v>85</v>
      </c>
      <c r="F21" s="30" t="s">
        <v>4</v>
      </c>
      <c r="G21" s="75"/>
      <c r="H21" s="30">
        <f>ROUNDDOWN((B4*60%)/2.5,0)*2.5</f>
        <v>117.5</v>
      </c>
      <c r="I21" s="30" t="s">
        <v>3</v>
      </c>
      <c r="J21" s="75"/>
      <c r="K21" s="32">
        <f>ROUNDDOWN((B4*72%)/2.5,0)*2.5</f>
        <v>140</v>
      </c>
      <c r="L21" s="32" t="s">
        <v>6</v>
      </c>
      <c r="M21" s="75"/>
      <c r="N21" s="32">
        <f>ROUNDDOWN((B4*80%)/2.5,0)*2.5</f>
        <v>157.5</v>
      </c>
      <c r="O21" s="32" t="s">
        <v>7</v>
      </c>
      <c r="P21" s="75"/>
      <c r="Q21" s="32">
        <f>ROUNDDOWN((B4*88%)/2.5,0)*2.5</f>
        <v>172.5</v>
      </c>
      <c r="R21" s="32" t="s">
        <v>8</v>
      </c>
      <c r="S21" s="75"/>
      <c r="T21" s="32">
        <f>ROUNDDOWN((B4*96%)/2.5,0)*2.5</f>
        <v>187.5</v>
      </c>
      <c r="U21" s="32" t="s">
        <v>8</v>
      </c>
      <c r="V21" s="75"/>
      <c r="W21" s="32">
        <f>ROUNDDOWN((B4*100%)/2.5,0)*2.5</f>
        <v>197.5</v>
      </c>
      <c r="X21" s="32" t="s">
        <v>8</v>
      </c>
      <c r="Y21" s="75"/>
      <c r="Z21" s="85" t="s">
        <v>25</v>
      </c>
      <c r="AA21" s="85"/>
      <c r="AB21" s="85"/>
      <c r="AC21" s="85"/>
      <c r="AD21" s="85"/>
      <c r="AE21" s="85"/>
      <c r="AF21" s="86"/>
      <c r="AG21" s="21"/>
      <c r="AH21" s="21"/>
      <c r="AI21" s="18"/>
      <c r="AJ21" s="19"/>
      <c r="AK21" s="17"/>
      <c r="AL21" s="17"/>
      <c r="AM21"/>
      <c r="AN21"/>
      <c r="AO21"/>
      <c r="AP21"/>
      <c r="AQ21"/>
      <c r="AR21"/>
      <c r="AS21"/>
      <c r="AT21"/>
      <c r="AU21"/>
      <c r="AV21"/>
      <c r="AW21"/>
    </row>
    <row r="22" spans="1:62" ht="14.1" customHeight="1" x14ac:dyDescent="0.2">
      <c r="A22" s="14"/>
      <c r="B22" s="14"/>
      <c r="C22" s="14"/>
      <c r="D22" s="14"/>
      <c r="E22" s="27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5"/>
      <c r="R22" s="15"/>
      <c r="S22" s="15"/>
      <c r="T22" s="15"/>
      <c r="U22" s="15"/>
      <c r="V22" s="16"/>
      <c r="W22" s="15"/>
      <c r="X22" s="15"/>
      <c r="Y22" s="16"/>
      <c r="Z22" s="15"/>
      <c r="AA22" s="15"/>
      <c r="AB22" s="16"/>
      <c r="AC22" s="99"/>
      <c r="AD22" s="99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26"/>
      <c r="AY22" s="26"/>
      <c r="AZ22" s="22"/>
      <c r="BA22" s="23"/>
      <c r="BB22" s="24"/>
      <c r="BC22" s="25"/>
      <c r="BD22" s="20"/>
      <c r="BE22" s="17"/>
    </row>
    <row r="23" spans="1:62" ht="30.75" customHeight="1" x14ac:dyDescent="0.2">
      <c r="A23" s="100" t="s">
        <v>31</v>
      </c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14"/>
      <c r="AY23" s="14"/>
      <c r="AZ23" s="15"/>
      <c r="BA23" s="15"/>
      <c r="BB23" s="15"/>
      <c r="BC23" s="15"/>
      <c r="BD23" s="15"/>
      <c r="BE23" s="14"/>
    </row>
    <row r="24" spans="1:62" x14ac:dyDescent="0.2">
      <c r="A24" s="14"/>
      <c r="B24" s="91"/>
      <c r="C24" s="91"/>
      <c r="D24" s="91"/>
      <c r="E24" s="91"/>
      <c r="F24" s="91"/>
      <c r="G24" s="91"/>
      <c r="H24" s="91"/>
      <c r="I24" s="91"/>
      <c r="J24" s="28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34"/>
      <c r="W24" s="14"/>
      <c r="X24" s="14"/>
      <c r="Y24" s="34"/>
      <c r="Z24" s="14"/>
      <c r="AA24" s="14"/>
      <c r="AB24" s="34"/>
      <c r="AC24" s="14"/>
      <c r="AD24" s="1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14"/>
      <c r="AY24" s="14"/>
      <c r="AZ24" s="15"/>
      <c r="BA24" s="15"/>
      <c r="BB24" s="15"/>
      <c r="BC24" s="15"/>
      <c r="BD24" s="15"/>
      <c r="BE24" s="14"/>
    </row>
    <row r="25" spans="1:62" ht="15.75" x14ac:dyDescent="0.25">
      <c r="B25" s="98"/>
      <c r="C25" s="98"/>
      <c r="D25" s="98"/>
      <c r="E25" s="98"/>
      <c r="F25" s="98"/>
      <c r="G25" s="98"/>
      <c r="H25" s="98"/>
      <c r="I25" s="98"/>
      <c r="J25" s="98"/>
      <c r="K25" s="98"/>
      <c r="AZ25" s="2"/>
      <c r="BA25" s="2"/>
      <c r="BB25" s="2"/>
      <c r="BC25" s="2"/>
      <c r="BD25" s="2"/>
    </row>
    <row r="26" spans="1:62" ht="15.75" x14ac:dyDescent="0.25">
      <c r="B26" s="13"/>
      <c r="C26" s="13"/>
      <c r="D26" s="13"/>
      <c r="F26" s="13"/>
      <c r="G26" s="13"/>
      <c r="H26" s="13"/>
      <c r="I26" s="13"/>
      <c r="J26" s="13"/>
      <c r="AZ26" s="2"/>
      <c r="BA26" s="2"/>
      <c r="BB26" s="2"/>
      <c r="BC26" s="2"/>
      <c r="BD26" s="2"/>
    </row>
    <row r="27" spans="1:62" ht="15.75" x14ac:dyDescent="0.25">
      <c r="AZ27" s="2"/>
      <c r="BA27" s="2"/>
      <c r="BB27" s="2"/>
      <c r="BC27" s="2"/>
      <c r="BD27" s="2"/>
    </row>
    <row r="28" spans="1:62" ht="15.75" x14ac:dyDescent="0.25">
      <c r="AZ28" s="2"/>
      <c r="BA28" s="2"/>
      <c r="BB28" s="2"/>
      <c r="BC28" s="2"/>
      <c r="BD28" s="2"/>
    </row>
    <row r="29" spans="1:62" ht="15.75" x14ac:dyDescent="0.25">
      <c r="AZ29" s="2"/>
    </row>
    <row r="30" spans="1:62" ht="15.75" x14ac:dyDescent="0.25">
      <c r="AZ30" s="2"/>
    </row>
    <row r="31" spans="1:62" ht="15.75" x14ac:dyDescent="0.25">
      <c r="AZ31" s="2"/>
    </row>
  </sheetData>
  <autoFilter ref="A9:A21"/>
  <mergeCells count="20">
    <mergeCell ref="A5:AY5"/>
    <mergeCell ref="A7:AY7"/>
    <mergeCell ref="A8:AY8"/>
    <mergeCell ref="B9:AP9"/>
    <mergeCell ref="B25:K25"/>
    <mergeCell ref="AF11:AH11"/>
    <mergeCell ref="AF12:AH12"/>
    <mergeCell ref="AC22:AD22"/>
    <mergeCell ref="B24:I24"/>
    <mergeCell ref="T13:V13"/>
    <mergeCell ref="A23:AG23"/>
    <mergeCell ref="AU19:AW19"/>
    <mergeCell ref="AQ19:AR19"/>
    <mergeCell ref="Z21:AF21"/>
    <mergeCell ref="Z14:AB14"/>
    <mergeCell ref="AF19:AH19"/>
    <mergeCell ref="AR16:AT16"/>
    <mergeCell ref="AI17:AK17"/>
    <mergeCell ref="AI18:AK18"/>
    <mergeCell ref="AI15:AK15"/>
  </mergeCells>
  <pageMargins left="0.75" right="0.75" top="1" bottom="1" header="0.5" footer="0.5"/>
  <pageSetup paperSize="9" fitToWidth="0" fitToHeight="0" orientation="landscape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Лист1!$B$2:$B$3</xm:f>
          </x14:formula1>
          <xm:sqref>D10:D21 G10:G21 J10:J21 M10:M21 P10:P21 S10:S21 V10:V12 V14:V21 Y10:Y11 Y13:Y15 Y17:Y21 AB11 AB13 AB15 AB17 AB19 AE11 AE13:AE14 AE15 AE17 AE19 AH13:AH14 AH17 AK11 AN11 AK19 AN19 AN17 AQ17 AT17 AW17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workbookViewId="0">
      <selection activeCell="B2" sqref="B2"/>
    </sheetView>
  </sheetViews>
  <sheetFormatPr defaultRowHeight="12.75" x14ac:dyDescent="0.2"/>
  <sheetData>
    <row r="2" spans="2:2" x14ac:dyDescent="0.2">
      <c r="B2" s="79" t="s">
        <v>30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Расчет</vt:lpstr>
      <vt:lpstr>Лист1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</cp:lastModifiedBy>
  <dcterms:created xsi:type="dcterms:W3CDTF">2013-11-13T15:49:20Z</dcterms:created>
  <dcterms:modified xsi:type="dcterms:W3CDTF">2026-01-06T14:23:14Z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5a405cd2f832453db833583c09d0fb19</vt:lpwstr>
  </property>
</Properties>
</file>